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vrns\Downloads\"/>
    </mc:Choice>
  </mc:AlternateContent>
  <xr:revisionPtr revIDLastSave="0" documentId="13_ncr:1_{2E1D8B93-A297-4DE6-B2AF-6FC0A334C45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All Tasks" sheetId="2" state="hidden" r:id="rId2"/>
    <sheet name="Charts Data" sheetId="3" r:id="rId3"/>
    <sheet name="Failed &amp; Erro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" l="1"/>
  <c r="D5" i="1"/>
  <c r="C5" i="1"/>
  <c r="G11" i="1"/>
  <c r="G26" i="1"/>
  <c r="G25" i="1"/>
  <c r="G24" i="1"/>
  <c r="G23" i="1"/>
  <c r="F19" i="1"/>
  <c r="E19" i="1"/>
  <c r="D19" i="1"/>
  <c r="G19" i="1" s="1"/>
  <c r="C19" i="1"/>
  <c r="G18" i="1"/>
  <c r="G17" i="1"/>
  <c r="G16" i="1"/>
  <c r="G15" i="1"/>
  <c r="G14" i="1"/>
  <c r="G13" i="1"/>
  <c r="G12" i="1"/>
  <c r="G10" i="1"/>
</calcChain>
</file>

<file path=xl/sharedStrings.xml><?xml version="1.0" encoding="utf-8"?>
<sst xmlns="http://schemas.openxmlformats.org/spreadsheetml/2006/main" count="833" uniqueCount="216">
  <si>
    <t>Total Tasks</t>
  </si>
  <si>
    <t>Pass</t>
  </si>
  <si>
    <t>Verify Fail</t>
  </si>
  <si>
    <t>Errors</t>
  </si>
  <si>
    <t>Total Cost</t>
  </si>
  <si>
    <t>Avg Cost</t>
  </si>
  <si>
    <t>Avg Duration</t>
  </si>
  <si>
    <t>Output Tokens</t>
  </si>
  <si>
    <t>Thinking Tokens</t>
  </si>
  <si>
    <t>$243.07</t>
  </si>
  <si>
    <t>$2.11</t>
  </si>
  <si>
    <t>493s</t>
  </si>
  <si>
    <t>3.60M</t>
  </si>
  <si>
    <t>40.6K</t>
  </si>
  <si>
    <t>USD</t>
  </si>
  <si>
    <t>per task</t>
  </si>
  <si>
    <t>total</t>
  </si>
  <si>
    <t xml:space="preserve">  STATUS BY DOMAIN</t>
  </si>
  <si>
    <t>Domain</t>
  </si>
  <si>
    <t>Total</t>
  </si>
  <si>
    <t>Error</t>
  </si>
  <si>
    <t>Pass Rate</t>
  </si>
  <si>
    <t>Bug Fixing</t>
  </si>
  <si>
    <t>Code Quality</t>
  </si>
  <si>
    <t>Configuration</t>
  </si>
  <si>
    <t>Dependency Management</t>
  </si>
  <si>
    <t>Documentation</t>
  </si>
  <si>
    <t>Feature Development</t>
  </si>
  <si>
    <t>Performance</t>
  </si>
  <si>
    <t>Security</t>
  </si>
  <si>
    <t>Testing</t>
  </si>
  <si>
    <t>TOTAL</t>
  </si>
  <si>
    <t xml:space="preserve">  STATUS BY LANGUAGE</t>
  </si>
  <si>
    <t>Language</t>
  </si>
  <si>
    <t>Java</t>
  </si>
  <si>
    <t>Python</t>
  </si>
  <si>
    <t>Javascript</t>
  </si>
  <si>
    <t>CPP</t>
  </si>
  <si>
    <t xml:space="preserve">  COST &amp; DURATION BY DOMAIN</t>
  </si>
  <si>
    <t>Avg Cost ($)</t>
  </si>
  <si>
    <t>Min Cost</t>
  </si>
  <si>
    <t>Max Cost</t>
  </si>
  <si>
    <t>Avg Duration (s)</t>
  </si>
  <si>
    <t>Max Duration (s)</t>
  </si>
  <si>
    <t xml:space="preserve">  REPAIR CALLS DISTRIBUTION</t>
  </si>
  <si>
    <t>Repair Calls</t>
  </si>
  <si>
    <t>Count</t>
  </si>
  <si>
    <t>% of Total</t>
  </si>
  <si>
    <t>Fail/Error</t>
  </si>
  <si>
    <t>0 repairs</t>
  </si>
  <si>
    <t>1 repair</t>
  </si>
  <si>
    <t>2 repairs</t>
  </si>
  <si>
    <t>3 repairs</t>
  </si>
  <si>
    <t xml:space="preserve">  TOP 10 COSTLIEST TASKS</t>
  </si>
  <si>
    <t>Task Name</t>
  </si>
  <si>
    <t>Status</t>
  </si>
  <si>
    <t>Cost ($)</t>
  </si>
  <si>
    <t>Duration (s)</t>
  </si>
  <si>
    <t>Repairs</t>
  </si>
  <si>
    <t>pulseweave-transform-cache-wiring</t>
  </si>
  <si>
    <t>thermosync-multi-tu-linkage-errors</t>
  </si>
  <si>
    <t>schemarift-typing-compat</t>
  </si>
  <si>
    <t>stagecraft-pipeline-test-gaps</t>
  </si>
  <si>
    <t>gridpilot-scheduler-crash</t>
  </si>
  <si>
    <t>quickspec-test-harness-failures</t>
  </si>
  <si>
    <t>vaultbridge-exception-chain-leak</t>
  </si>
  <si>
    <t>pulsewave-handler-code-quality</t>
  </si>
  <si>
    <t>axiomlog-redaction-cache-leak</t>
  </si>
  <si>
    <t>starloom-route-optimizer-slowdown</t>
  </si>
  <si>
    <t>Subdomain</t>
  </si>
  <si>
    <t>Total Cost ($)</t>
  </si>
  <si>
    <t>Input Tokens</t>
  </si>
  <si>
    <t>Sanity Runs</t>
  </si>
  <si>
    <t>Build Calls</t>
  </si>
  <si>
    <t>Plan Calls</t>
  </si>
  <si>
    <t>Brainstorm Calls</t>
  </si>
  <si>
    <t>voltstream-prebuild-esm-mismatch</t>
  </si>
  <si>
    <t>Build Issues</t>
  </si>
  <si>
    <t>chronoflux-window-param-extension</t>
  </si>
  <si>
    <t>Feature Extension</t>
  </si>
  <si>
    <t>Compatibility Bugs</t>
  </si>
  <si>
    <t>metricsink-url-parsing-compat</t>
  </si>
  <si>
    <t>vexforge-module-resolution-failure</t>
  </si>
  <si>
    <t>ironforge-batch-metrics-crash</t>
  </si>
  <si>
    <t>Runtime Errors</t>
  </si>
  <si>
    <t>ionflux-profiler-attribution-drift</t>
  </si>
  <si>
    <t>Profiling Benchmarking</t>
  </si>
  <si>
    <t>forgelink-ci-workflow-breakage</t>
  </si>
  <si>
    <t>Ci Cd Pipeline</t>
  </si>
  <si>
    <t>nimbusflow-telemetry-config-bug</t>
  </si>
  <si>
    <t>Environment Configuration</t>
  </si>
  <si>
    <t>signalink-telemetry-redaction-leak</t>
  </si>
  <si>
    <t>Data Privacy</t>
  </si>
  <si>
    <t>confmesh-parse-overflow-traversal</t>
  </si>
  <si>
    <t>Vulnerability Fixes</t>
  </si>
  <si>
    <t>pulsesync-metrics-integration-chain</t>
  </si>
  <si>
    <t>Integration Testing</t>
  </si>
  <si>
    <t>quadgrid-header-linkage-errors</t>
  </si>
  <si>
    <t>meridian-route-navigation-crash</t>
  </si>
  <si>
    <t>irongate-scheduler-grouping-regression</t>
  </si>
  <si>
    <t>Regression Bugs</t>
  </si>
  <si>
    <t>streamweave-relay-integration-contracts</t>
  </si>
  <si>
    <t>vaultrix-api-docs-drift</t>
  </si>
  <si>
    <t>Api Documentation</t>
  </si>
  <si>
    <t>buildspec-task-command-injection</t>
  </si>
  <si>
    <t>Test Infrastructure</t>
  </si>
  <si>
    <t>ferris-tracker-dependency-drift</t>
  </si>
  <si>
    <t>Dependency Updates</t>
  </si>
  <si>
    <t>frostline-scorer-sensitivity-extension</t>
  </si>
  <si>
    <t>vaulthex-reconcile-performance</t>
  </si>
  <si>
    <t>Optimization</t>
  </si>
  <si>
    <t>gridlock-sync-timeout-regression</t>
  </si>
  <si>
    <t>pulsarc-reconciliation-docs-drift</t>
  </si>
  <si>
    <t>crestline-fold-regression</t>
  </si>
  <si>
    <t>signalproc-format-negotiation-compat</t>
  </si>
  <si>
    <t>streamforge-sdk-docs-mismatch</t>
  </si>
  <si>
    <t>fieldpulse-yield-variance-issue</t>
  </si>
  <si>
    <t>Logic Errors</t>
  </si>
  <si>
    <t>comet-lockfile-transitive-conflict</t>
  </si>
  <si>
    <t>Dependency Conflicts</t>
  </si>
  <si>
    <t>pathcore-cpp-compat-upgrade</t>
  </si>
  <si>
    <t>crysort-batch-merge-crash</t>
  </si>
  <si>
    <t>quartzbeam-rollback-migration-wiring</t>
  </si>
  <si>
    <t>New Feature Implementation</t>
  </si>
  <si>
    <t>vortex-telemetry-scalability-collapse</t>
  </si>
  <si>
    <t>Scalability</t>
  </si>
  <si>
    <t>Refactoring</t>
  </si>
  <si>
    <t>gridstone-maven-diamond-conflict</t>
  </si>
  <si>
    <t>signalweave-silence-detector</t>
  </si>
  <si>
    <t>nimbuslink-ssrf-validator-bypass</t>
  </si>
  <si>
    <t>termflow-analyzer-log-frequency</t>
  </si>
  <si>
    <t>quadrantdb-deployment-drift</t>
  </si>
  <si>
    <t>Deployment Config</t>
  </si>
  <si>
    <t>vexflow-documentation-drift</t>
  </si>
  <si>
    <t>Code Comments</t>
  </si>
  <si>
    <t>policyzen-eval-coverage-gaps</t>
  </si>
  <si>
    <t>Test Writing</t>
  </si>
  <si>
    <t>condense-telemetry-dead-code</t>
  </si>
  <si>
    <t>Code Cleanup</t>
  </si>
  <si>
    <t>pulsar-profiler-scope-misattribution</t>
  </si>
  <si>
    <t>framecast-parser-crash-triage</t>
  </si>
  <si>
    <t>vexflow-pipeline-jdk-builds</t>
  </si>
  <si>
    <t>routeweaver-deserialization-chain</t>
  </si>
  <si>
    <t>glowspan-nested-timing-attribution</t>
  </si>
  <si>
    <t>prismforge-notification-payload-leak</t>
  </si>
  <si>
    <t>calcstream-expr-test-gaps</t>
  </si>
  <si>
    <t>signalfx-coverage-gaps</t>
  </si>
  <si>
    <t>vaultedge-authz-cache-bypass</t>
  </si>
  <si>
    <t>Authentication Authorization</t>
  </si>
  <si>
    <t>memwatch-allocation-tracker-drift</t>
  </si>
  <si>
    <t>signalwire-multiplex-channel-routing</t>
  </si>
  <si>
    <t>Refactoring For Features</t>
  </si>
  <si>
    <t>fluxcore-refactor-compile-failure</t>
  </si>
  <si>
    <t>streammux-channel-race-uaf</t>
  </si>
  <si>
    <t>balancealloc-distribution-skew</t>
  </si>
  <si>
    <t>vaultline-workflow-action-migration</t>
  </si>
  <si>
    <t>crestline-harness-bootstrap-failures</t>
  </si>
  <si>
    <t>stratolock-constraint-resolution-failure</t>
  </si>
  <si>
    <t>vectoris-coord-test-drift</t>
  </si>
  <si>
    <t>Unit Test Fixing</t>
  </si>
  <si>
    <t>prismcodec-dictionary-extension</t>
  </si>
  <si>
    <t>batchcraft-processor-readability</t>
  </si>
  <si>
    <t>nexforge-security-version-update</t>
  </si>
  <si>
    <t>flowspec-branch-integration-gaps</t>
  </si>
  <si>
    <t>vaultstream-config-precedence-drift</t>
  </si>
  <si>
    <t>wavespec-spectral-band-analysis</t>
  </si>
  <si>
    <t>eventfold-transform-pipeline-wiring</t>
  </si>
  <si>
    <t>pulsestream-nested-redaction-bypass</t>
  </si>
  <si>
    <t>orbtrack-trajectory-dead-code</t>
  </si>
  <si>
    <t>gateforge-policy-resolution-bypass</t>
  </si>
  <si>
    <t>streamforge-deployment-stale-references</t>
  </si>
  <si>
    <t>vaulthaven-credential-export-leak</t>
  </si>
  <si>
    <t>catalystvom-native-binding-wiring</t>
  </si>
  <si>
    <t>signalforge-dead-code-removal</t>
  </si>
  <si>
    <t>trellisforge-report-builder-refactor</t>
  </si>
  <si>
    <t>sensorforge-integration-harness-gaps</t>
  </si>
  <si>
    <t>flowgraph-test-suite-assertions</t>
  </si>
  <si>
    <t>packdec-stream-throughput-drain</t>
  </si>
  <si>
    <t>ciphertrail-docstring-algorithm-drift</t>
  </si>
  <si>
    <t>nexqueue-batch-callback-extension</t>
  </si>
  <si>
    <t>metricstream-scalability-bypass</t>
  </si>
  <si>
    <t>bufpool-tagged-allocation-feature</t>
  </si>
  <si>
    <t>stellarforge-telemetry-style-violations</t>
  </si>
  <si>
    <t>Style Formatting</t>
  </si>
  <si>
    <t>orbiterconf-layered-envvar-fault</t>
  </si>
  <si>
    <t>quillstream-jsdoc-signature-drift</t>
  </si>
  <si>
    <t>pulsescan-telemetry-filter-slowdown</t>
  </si>
  <si>
    <t>gridlock-harness-annotation-bootstrap</t>
  </si>
  <si>
    <t>fluxgate-javadoc-semantics-drift</t>
  </si>
  <si>
    <t>glintforge-ci-workflow-misconfiguration</t>
  </si>
  <si>
    <t>crestci-workflow-pipeline-blockage</t>
  </si>
  <si>
    <t>streamfold-window-summary</t>
  </si>
  <si>
    <t>Edge Case Handling</t>
  </si>
  <si>
    <t>schemaforge-validation-slowdown</t>
  </si>
  <si>
    <t>ferrokv-boundary-input-corruption</t>
  </si>
  <si>
    <t>pulsegate-compose-path-misalignment</t>
  </si>
  <si>
    <t>jobchain-result-caching-wiring</t>
  </si>
  <si>
    <t>fluxrelay-codebase-cruft-cleanup</t>
  </si>
  <si>
    <t>verigate-plc-command-security</t>
  </si>
  <si>
    <t>glintmark-precision-directive-extension</t>
  </si>
  <si>
    <t>gridpulse-mathcore-version-sync</t>
  </si>
  <si>
    <t>aerokey-token-authz-bypass</t>
  </si>
  <si>
    <t>pulsegrid-cruft-removal</t>
  </si>
  <si>
    <t>wavelink-message-ack-wiring</t>
  </si>
  <si>
    <t>wavechart-arrow-shorthand-lint</t>
  </si>
  <si>
    <t>vortexium-axlint-style-violations</t>
  </si>
  <si>
    <t>cipherlink-service-token-bypass</t>
  </si>
  <si>
    <t>dataweave-cli-docs-drift</t>
  </si>
  <si>
    <t>batchforge-transaction-summary-crash</t>
  </si>
  <si>
    <t>routeopt-naming-convention-drift</t>
  </si>
  <si>
    <t>Domain Status Breakdown</t>
  </si>
  <si>
    <t>Avg Cost by Domain</t>
  </si>
  <si>
    <t>Language Status Breakdown</t>
  </si>
  <si>
    <t>Avg Duration by Domain</t>
  </si>
  <si>
    <t>Repair Calls Distribution</t>
  </si>
  <si>
    <t>BUILDER METRICS DASHBOARD  ·  115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</si>
</sst>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#,##0.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2C3E50"/>
      <name val="Arial"/>
      <family val="2"/>
    </font>
    <font>
      <b/>
      <sz val="9"/>
      <color rgb="FFE24B4A"/>
      <name val="Arial"/>
      <family val="2"/>
    </font>
    <font>
      <b/>
      <sz val="9"/>
      <color rgb="FF1D9E75"/>
      <name val="Arial"/>
      <family val="2"/>
    </font>
    <font>
      <b/>
      <sz val="9"/>
      <color rgb="FFE8A838"/>
      <name val="Arial"/>
      <family val="2"/>
    </font>
    <font>
      <sz val="10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E2A3A"/>
        <bgColor rgb="FF2C3E50"/>
      </patternFill>
    </fill>
    <fill>
      <patternFill patternType="solid">
        <fgColor rgb="FF2E4057"/>
        <bgColor rgb="FF2C3E50"/>
      </patternFill>
    </fill>
    <fill>
      <patternFill patternType="solid">
        <fgColor rgb="FF1D9E75"/>
        <bgColor rgb="FF048A81"/>
      </patternFill>
    </fill>
    <fill>
      <patternFill patternType="solid">
        <fgColor rgb="FFE8A838"/>
        <bgColor rgb="FFFFCC00"/>
      </patternFill>
    </fill>
    <fill>
      <patternFill patternType="solid">
        <fgColor rgb="FFE24B4A"/>
        <bgColor rgb="FF993366"/>
      </patternFill>
    </fill>
    <fill>
      <patternFill patternType="solid">
        <fgColor rgb="FF048A81"/>
        <bgColor rgb="FF008080"/>
      </patternFill>
    </fill>
    <fill>
      <patternFill patternType="solid">
        <fgColor rgb="FF7F77DD"/>
        <bgColor rgb="FF4F81BD"/>
      </patternFill>
    </fill>
    <fill>
      <patternFill patternType="solid">
        <fgColor rgb="FF378ADD"/>
        <bgColor rgb="FF4F81BD"/>
      </patternFill>
    </fill>
    <fill>
      <patternFill patternType="solid">
        <fgColor rgb="FFEDF2F7"/>
        <bgColor rgb="FFF4F6F9"/>
      </patternFill>
    </fill>
    <fill>
      <patternFill patternType="solid">
        <fgColor rgb="FFFFFFFF"/>
        <bgColor rgb="FFFFFBF0"/>
      </patternFill>
    </fill>
    <fill>
      <patternFill patternType="solid">
        <fgColor rgb="FFF4F6F9"/>
        <bgColor rgb="FFF9F9F9"/>
      </patternFill>
    </fill>
    <fill>
      <patternFill patternType="solid">
        <fgColor rgb="FFFFFBF0"/>
        <bgColor rgb="FFF9F9F9"/>
      </patternFill>
    </fill>
    <fill>
      <patternFill patternType="solid">
        <fgColor rgb="FFFFF3F3"/>
        <bgColor rgb="FFF9F9F9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69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3" fontId="6" fillId="11" borderId="1" xfId="0" applyNumberFormat="1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164" fontId="7" fillId="10" borderId="1" xfId="0" applyNumberFormat="1" applyFont="1" applyFill="1" applyBorder="1" applyAlignment="1">
      <alignment horizontal="center" vertical="center" wrapText="1"/>
    </xf>
    <xf numFmtId="164" fontId="8" fillId="11" borderId="1" xfId="0" applyNumberFormat="1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5" fontId="6" fillId="10" borderId="1" xfId="0" applyNumberFormat="1" applyFont="1" applyFill="1" applyBorder="1" applyAlignment="1">
      <alignment horizontal="center" vertical="center" wrapText="1"/>
    </xf>
    <xf numFmtId="166" fontId="6" fillId="10" borderId="1" xfId="0" applyNumberFormat="1" applyFont="1" applyFill="1" applyBorder="1" applyAlignment="1">
      <alignment horizontal="center" vertical="center" wrapText="1"/>
    </xf>
    <xf numFmtId="165" fontId="6" fillId="11" borderId="1" xfId="0" applyNumberFormat="1" applyFont="1" applyFill="1" applyBorder="1" applyAlignment="1">
      <alignment horizontal="center" vertical="center" wrapText="1"/>
    </xf>
    <xf numFmtId="166" fontId="6" fillId="11" borderId="1" xfId="0" applyNumberFormat="1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66" fontId="6" fillId="12" borderId="1" xfId="0" applyNumberFormat="1" applyFont="1" applyFill="1" applyBorder="1" applyAlignment="1">
      <alignment horizontal="center" vertical="center" wrapText="1"/>
    </xf>
    <xf numFmtId="165" fontId="6" fillId="12" borderId="1" xfId="0" applyNumberFormat="1" applyFont="1" applyFill="1" applyBorder="1" applyAlignment="1">
      <alignment horizontal="center" vertical="center" wrapText="1"/>
    </xf>
    <xf numFmtId="3" fontId="6" fillId="12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165" fontId="6" fillId="13" borderId="1" xfId="0" applyNumberFormat="1" applyFont="1" applyFill="1" applyBorder="1" applyAlignment="1">
      <alignment horizontal="center" vertical="center" wrapText="1"/>
    </xf>
    <xf numFmtId="166" fontId="6" fillId="13" borderId="1" xfId="0" applyNumberFormat="1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165" fontId="6" fillId="14" borderId="1" xfId="0" applyNumberFormat="1" applyFont="1" applyFill="1" applyBorder="1" applyAlignment="1">
      <alignment horizontal="center" vertical="center" wrapText="1"/>
    </xf>
    <xf numFmtId="166" fontId="6" fillId="14" borderId="1" xfId="0" applyNumberFormat="1" applyFont="1" applyFill="1" applyBorder="1" applyAlignment="1">
      <alignment horizontal="center" vertical="center" wrapText="1"/>
    </xf>
    <xf numFmtId="9" fontId="1" fillId="0" borderId="0" xfId="1"/>
    <xf numFmtId="9" fontId="4" fillId="4" borderId="1" xfId="0" applyNumberFormat="1" applyFont="1" applyFill="1" applyBorder="1" applyAlignment="1">
      <alignment horizontal="center" vertical="center" wrapText="1"/>
    </xf>
    <xf numFmtId="9" fontId="4" fillId="5" borderId="1" xfId="0" applyNumberFormat="1" applyFont="1" applyFill="1" applyBorder="1" applyAlignment="1">
      <alignment horizontal="center" vertical="center" wrapText="1"/>
    </xf>
    <xf numFmtId="9" fontId="10" fillId="15" borderId="1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8A81"/>
      <rgbColor rgb="FFD9D9D9"/>
      <rgbColor rgb="FF878787"/>
      <rgbColor rgb="FF7F77DD"/>
      <rgbColor rgb="FF993366"/>
      <rgbColor rgb="FFFFFBF0"/>
      <rgbColor rgb="FFEDF2F7"/>
      <rgbColor rgb="FF660066"/>
      <rgbColor rgb="FFFF8080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F9F9F9"/>
      <rgbColor rgb="FFFFF3F3"/>
      <rgbColor rgb="FF99CCFF"/>
      <rgbColor rgb="FFFF99CC"/>
      <rgbColor rgb="FFCC99FF"/>
      <rgbColor rgb="FFFFCC99"/>
      <rgbColor rgb="FF378ADD"/>
      <rgbColor rgb="FF33CCCC"/>
      <rgbColor rgb="FF99CC00"/>
      <rgbColor rgb="FFFFCC00"/>
      <rgbColor rgb="FFE8A838"/>
      <rgbColor rgb="FFE24B4A"/>
      <rgbColor rgb="FF4F81BD"/>
      <rgbColor rgb="FF969696"/>
      <rgbColor rgb="FF1E2A3A"/>
      <rgbColor rgb="FF1D9E75"/>
      <rgbColor rgb="FF003300"/>
      <rgbColor rgb="FF333300"/>
      <rgbColor rgb="FF993300"/>
      <rgbColor rgb="FF993366"/>
      <rgbColor rgb="FF2E4057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Tasks by Domain &amp;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rgbClr val="1D9E75"/>
            </a:solidFill>
            <a:ln w="9360">
              <a:solidFill>
                <a:srgbClr val="1D9E7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Data'!$A$3:$A$11</c:f>
              <c:strCache>
                <c:ptCount val="9"/>
                <c:pt idx="0">
                  <c:v>Bug Fixing</c:v>
                </c:pt>
                <c:pt idx="1">
                  <c:v>Code Quality</c:v>
                </c:pt>
                <c:pt idx="2">
                  <c:v>Configuration</c:v>
                </c:pt>
                <c:pt idx="3">
                  <c:v>Dependency Management</c:v>
                </c:pt>
                <c:pt idx="4">
                  <c:v>Documentation</c:v>
                </c:pt>
                <c:pt idx="5">
                  <c:v>Feature Development</c:v>
                </c:pt>
                <c:pt idx="6">
                  <c:v>Performance</c:v>
                </c:pt>
                <c:pt idx="7">
                  <c:v>Security</c:v>
                </c:pt>
                <c:pt idx="8">
                  <c:v>Testing</c:v>
                </c:pt>
              </c:strCache>
            </c:strRef>
          </c:cat>
          <c:val>
            <c:numRef>
              <c:f>'Charts Data'!$B$3:$B$11</c:f>
              <c:numCache>
                <c:formatCode>General</c:formatCode>
                <c:ptCount val="9"/>
                <c:pt idx="0">
                  <c:v>15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15</c:v>
                </c:pt>
                <c:pt idx="6">
                  <c:v>10</c:v>
                </c:pt>
                <c:pt idx="7">
                  <c:v>15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E-4AB4-A659-5F936F463B3F}"/>
            </c:ext>
          </c:extLst>
        </c:ser>
        <c:ser>
          <c:idx val="1"/>
          <c:order val="1"/>
          <c:spPr>
            <a:solidFill>
              <a:srgbClr val="E8A838"/>
            </a:solidFill>
            <a:ln w="9360">
              <a:solidFill>
                <a:srgbClr val="E8A838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Data'!$A$3:$A$11</c:f>
              <c:strCache>
                <c:ptCount val="9"/>
                <c:pt idx="0">
                  <c:v>Bug Fixing</c:v>
                </c:pt>
                <c:pt idx="1">
                  <c:v>Code Quality</c:v>
                </c:pt>
                <c:pt idx="2">
                  <c:v>Configuration</c:v>
                </c:pt>
                <c:pt idx="3">
                  <c:v>Dependency Management</c:v>
                </c:pt>
                <c:pt idx="4">
                  <c:v>Documentation</c:v>
                </c:pt>
                <c:pt idx="5">
                  <c:v>Feature Development</c:v>
                </c:pt>
                <c:pt idx="6">
                  <c:v>Performance</c:v>
                </c:pt>
                <c:pt idx="7">
                  <c:v>Security</c:v>
                </c:pt>
                <c:pt idx="8">
                  <c:v>Testing</c:v>
                </c:pt>
              </c:strCache>
            </c:strRef>
          </c:cat>
          <c:val>
            <c:numRef>
              <c:f>'Charts Data'!$C$3:$C$11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FE-4AB4-A659-5F936F463B3F}"/>
            </c:ext>
          </c:extLst>
        </c:ser>
        <c:ser>
          <c:idx val="2"/>
          <c:order val="2"/>
          <c:spPr>
            <a:solidFill>
              <a:srgbClr val="E24B4A"/>
            </a:solidFill>
            <a:ln w="9360">
              <a:solidFill>
                <a:srgbClr val="E24B4A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Data'!$A$3:$A$11</c:f>
              <c:strCache>
                <c:ptCount val="9"/>
                <c:pt idx="0">
                  <c:v>Bug Fixing</c:v>
                </c:pt>
                <c:pt idx="1">
                  <c:v>Code Quality</c:v>
                </c:pt>
                <c:pt idx="2">
                  <c:v>Configuration</c:v>
                </c:pt>
                <c:pt idx="3">
                  <c:v>Dependency Management</c:v>
                </c:pt>
                <c:pt idx="4">
                  <c:v>Documentation</c:v>
                </c:pt>
                <c:pt idx="5">
                  <c:v>Feature Development</c:v>
                </c:pt>
                <c:pt idx="6">
                  <c:v>Performance</c:v>
                </c:pt>
                <c:pt idx="7">
                  <c:v>Security</c:v>
                </c:pt>
                <c:pt idx="8">
                  <c:v>Testing</c:v>
                </c:pt>
              </c:strCache>
            </c:strRef>
          </c:cat>
          <c:val>
            <c:numRef>
              <c:f>'Charts Data'!$D$3:$D$11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FE-4AB4-A659-5F936F463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849570"/>
        <c:axId val="27159848"/>
      </c:barChart>
      <c:catAx>
        <c:axId val="788495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159848"/>
        <c:crosses val="autoZero"/>
        <c:auto val="1"/>
        <c:lblAlgn val="ctr"/>
        <c:lblOffset val="100"/>
        <c:noMultiLvlLbl val="0"/>
      </c:catAx>
      <c:valAx>
        <c:axId val="27159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495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Repair Calls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51540668536109"/>
          <c:y val="0.20623152110621795"/>
          <c:w val="0.50158124982245689"/>
          <c:h val="0.69873057419540852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D9E7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1538-489C-B2EC-4AA6B6FA7D2B}"/>
              </c:ext>
            </c:extLst>
          </c:dPt>
          <c:dPt>
            <c:idx val="1"/>
            <c:bubble3D val="0"/>
            <c:spPr>
              <a:solidFill>
                <a:srgbClr val="378AD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1538-489C-B2EC-4AA6B6FA7D2B}"/>
              </c:ext>
            </c:extLst>
          </c:dPt>
          <c:dPt>
            <c:idx val="2"/>
            <c:bubble3D val="0"/>
            <c:spPr>
              <a:solidFill>
                <a:srgbClr val="E8A83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1538-489C-B2EC-4AA6B6FA7D2B}"/>
              </c:ext>
            </c:extLst>
          </c:dPt>
          <c:dPt>
            <c:idx val="3"/>
            <c:bubble3D val="0"/>
            <c:spPr>
              <a:solidFill>
                <a:srgbClr val="E24B4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1538-489C-B2EC-4AA6B6FA7D2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538-489C-B2EC-4AA6B6FA7D2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538-489C-B2EC-4AA6B6FA7D2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538-489C-B2EC-4AA6B6FA7D2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538-489C-B2EC-4AA6B6FA7D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'Charts Data'!$A$24:$A$27</c:f>
              <c:strCache>
                <c:ptCount val="4"/>
                <c:pt idx="0">
                  <c:v>0 repairs</c:v>
                </c:pt>
                <c:pt idx="1">
                  <c:v>1 repair</c:v>
                </c:pt>
                <c:pt idx="2">
                  <c:v>2 repairs</c:v>
                </c:pt>
                <c:pt idx="3">
                  <c:v>3 repairs</c:v>
                </c:pt>
              </c:strCache>
            </c:strRef>
          </c:cat>
          <c:val>
            <c:numRef>
              <c:f>'Charts Data'!$B$24:$B$27</c:f>
              <c:numCache>
                <c:formatCode>General</c:formatCode>
                <c:ptCount val="4"/>
                <c:pt idx="0">
                  <c:v>43</c:v>
                </c:pt>
                <c:pt idx="1">
                  <c:v>47</c:v>
                </c:pt>
                <c:pt idx="2">
                  <c:v>23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38-489C-B2EC-4AA6B6FA7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Cost per Domain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7F77D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'Charts Data'!$G$3:$G$11</c:f>
              <c:strCache>
                <c:ptCount val="9"/>
                <c:pt idx="0">
                  <c:v>Bug Fixing</c:v>
                </c:pt>
                <c:pt idx="1">
                  <c:v>Code Quality</c:v>
                </c:pt>
                <c:pt idx="2">
                  <c:v>Configuration</c:v>
                </c:pt>
                <c:pt idx="3">
                  <c:v>Dependency Management</c:v>
                </c:pt>
                <c:pt idx="4">
                  <c:v>Documentation</c:v>
                </c:pt>
                <c:pt idx="5">
                  <c:v>Feature Development</c:v>
                </c:pt>
                <c:pt idx="6">
                  <c:v>Performance</c:v>
                </c:pt>
                <c:pt idx="7">
                  <c:v>Security</c:v>
                </c:pt>
                <c:pt idx="8">
                  <c:v>Testing</c:v>
                </c:pt>
              </c:strCache>
            </c:strRef>
          </c:cat>
          <c:val>
            <c:numRef>
              <c:f>'Charts Data'!$H$3:$H$11</c:f>
              <c:numCache>
                <c:formatCode>\$#,##0.00</c:formatCode>
                <c:ptCount val="9"/>
                <c:pt idx="0">
                  <c:v>2.1979000000000002</c:v>
                </c:pt>
                <c:pt idx="1">
                  <c:v>2.0546000000000002</c:v>
                </c:pt>
                <c:pt idx="2">
                  <c:v>1.9476</c:v>
                </c:pt>
                <c:pt idx="3">
                  <c:v>2.3544999999999998</c:v>
                </c:pt>
                <c:pt idx="4">
                  <c:v>1.9822</c:v>
                </c:pt>
                <c:pt idx="5">
                  <c:v>2.1267999999999998</c:v>
                </c:pt>
                <c:pt idx="6">
                  <c:v>2.0104000000000002</c:v>
                </c:pt>
                <c:pt idx="7">
                  <c:v>2.0287000000000002</c:v>
                </c:pt>
                <c:pt idx="8">
                  <c:v>2.2665999999999999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0-44F3-BF3D-776F775F8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40687"/>
        <c:axId val="16376783"/>
      </c:barChart>
      <c:catAx>
        <c:axId val="8394068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376783"/>
        <c:crosses val="autoZero"/>
        <c:auto val="1"/>
        <c:lblAlgn val="ctr"/>
        <c:lblOffset val="100"/>
        <c:noMultiLvlLbl val="0"/>
      </c:catAx>
      <c:valAx>
        <c:axId val="163767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4068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421640</xdr:colOff>
      <xdr:row>1</xdr:row>
      <xdr:rowOff>25400</xdr:rowOff>
    </xdr:from>
    <xdr:to>
      <xdr:col>29</xdr:col>
      <xdr:colOff>589280</xdr:colOff>
      <xdr:row>18</xdr:row>
      <xdr:rowOff>17880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754380</xdr:colOff>
      <xdr:row>1</xdr:row>
      <xdr:rowOff>30480</xdr:rowOff>
    </xdr:from>
    <xdr:to>
      <xdr:col>16</xdr:col>
      <xdr:colOff>221760</xdr:colOff>
      <xdr:row>18</xdr:row>
      <xdr:rowOff>75800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673100</xdr:colOff>
      <xdr:row>19</xdr:row>
      <xdr:rowOff>63500</xdr:rowOff>
    </xdr:from>
    <xdr:to>
      <xdr:col>18</xdr:col>
      <xdr:colOff>495300</xdr:colOff>
      <xdr:row>39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A3A"/>
  </sheetPr>
  <dimension ref="B1:J79"/>
  <sheetViews>
    <sheetView showGridLines="0" tabSelected="1" zoomScaleNormal="100" workbookViewId="0">
      <pane ySplit="3" topLeftCell="A4" activePane="bottomLeft" state="frozen"/>
      <selection pane="bottomLeft" activeCell="I10" sqref="I10"/>
    </sheetView>
  </sheetViews>
  <sheetFormatPr defaultColWidth="8.6640625" defaultRowHeight="14.4" x14ac:dyDescent="0.3"/>
  <cols>
    <col min="1" max="1" width="3" customWidth="1"/>
    <col min="2" max="2" width="38" customWidth="1"/>
    <col min="3" max="10" width="16" customWidth="1"/>
    <col min="11" max="11" width="3" customWidth="1"/>
  </cols>
  <sheetData>
    <row r="1" spans="2:10" ht="18" customHeight="1" x14ac:dyDescent="0.3">
      <c r="B1" s="3" t="s">
        <v>215</v>
      </c>
      <c r="C1" s="3"/>
      <c r="D1" s="3"/>
      <c r="E1" s="3"/>
      <c r="F1" s="3"/>
      <c r="G1" s="3"/>
      <c r="H1" s="3"/>
      <c r="I1" s="3"/>
      <c r="J1" s="3"/>
    </row>
    <row r="2" spans="2:10" ht="18" customHeight="1" x14ac:dyDescent="0.3">
      <c r="B2" s="3"/>
      <c r="C2" s="3"/>
      <c r="D2" s="3"/>
      <c r="E2" s="3"/>
      <c r="F2" s="3"/>
      <c r="G2" s="3"/>
      <c r="H2" s="3"/>
      <c r="I2" s="3"/>
      <c r="J2" s="3"/>
    </row>
    <row r="3" spans="2:10" ht="13.5" customHeight="1" x14ac:dyDescent="0.3">
      <c r="B3" s="4" t="s">
        <v>0</v>
      </c>
      <c r="C3" s="5" t="s">
        <v>1</v>
      </c>
      <c r="D3" s="6" t="s">
        <v>2</v>
      </c>
      <c r="E3" s="7" t="s">
        <v>3</v>
      </c>
      <c r="F3" s="8" t="s">
        <v>4</v>
      </c>
      <c r="G3" s="9" t="s">
        <v>5</v>
      </c>
      <c r="H3" s="10" t="s">
        <v>6</v>
      </c>
      <c r="I3" s="4" t="s">
        <v>7</v>
      </c>
      <c r="J3" s="11" t="s">
        <v>8</v>
      </c>
    </row>
    <row r="4" spans="2:10" ht="33.75" customHeight="1" x14ac:dyDescent="0.3">
      <c r="B4" s="12">
        <v>115</v>
      </c>
      <c r="C4" s="13">
        <v>100</v>
      </c>
      <c r="D4" s="14">
        <v>10</v>
      </c>
      <c r="E4" s="15">
        <v>5</v>
      </c>
      <c r="F4" s="16" t="s">
        <v>9</v>
      </c>
      <c r="G4" s="17" t="s">
        <v>10</v>
      </c>
      <c r="H4" s="18" t="s">
        <v>11</v>
      </c>
      <c r="I4" s="12" t="s">
        <v>12</v>
      </c>
      <c r="J4" s="19" t="s">
        <v>13</v>
      </c>
    </row>
    <row r="5" spans="2:10" ht="21.75" customHeight="1" x14ac:dyDescent="0.3">
      <c r="B5" s="20"/>
      <c r="C5" s="66">
        <f>C4/B4</f>
        <v>0.86956521739130432</v>
      </c>
      <c r="D5" s="67">
        <f>D4/B4</f>
        <v>8.6956521739130432E-2</v>
      </c>
      <c r="E5" s="68">
        <f>E4/B4</f>
        <v>4.3478260869565216E-2</v>
      </c>
      <c r="F5" s="21" t="s">
        <v>14</v>
      </c>
      <c r="G5" s="22" t="s">
        <v>15</v>
      </c>
      <c r="H5" s="23" t="s">
        <v>15</v>
      </c>
      <c r="I5" s="20" t="s">
        <v>16</v>
      </c>
      <c r="J5" s="24" t="s">
        <v>16</v>
      </c>
    </row>
    <row r="6" spans="2:10" ht="13.5" customHeight="1" x14ac:dyDescent="0.3"/>
    <row r="7" spans="2:10" ht="18" customHeight="1" x14ac:dyDescent="0.3"/>
    <row r="8" spans="2:10" ht="19.5" customHeight="1" x14ac:dyDescent="0.3">
      <c r="B8" s="2" t="s">
        <v>17</v>
      </c>
      <c r="C8" s="2"/>
      <c r="D8" s="2"/>
      <c r="E8" s="2"/>
      <c r="F8" s="2"/>
      <c r="G8" s="2"/>
    </row>
    <row r="9" spans="2:10" ht="18" customHeight="1" x14ac:dyDescent="0.3">
      <c r="B9" s="8" t="s">
        <v>18</v>
      </c>
      <c r="C9" s="8" t="s">
        <v>19</v>
      </c>
      <c r="D9" s="8" t="s">
        <v>1</v>
      </c>
      <c r="E9" s="8" t="s">
        <v>2</v>
      </c>
      <c r="F9" s="8" t="s">
        <v>20</v>
      </c>
      <c r="G9" s="8" t="s">
        <v>21</v>
      </c>
    </row>
    <row r="10" spans="2:10" ht="16.5" customHeight="1" x14ac:dyDescent="0.3">
      <c r="B10" s="25" t="s">
        <v>22</v>
      </c>
      <c r="C10" s="26">
        <v>16</v>
      </c>
      <c r="D10" s="26">
        <v>15</v>
      </c>
      <c r="E10" s="26">
        <v>0</v>
      </c>
      <c r="F10" s="26">
        <v>1</v>
      </c>
      <c r="G10" s="27">
        <f t="shared" ref="G10:G19" si="0">D10/C10</f>
        <v>0.9375</v>
      </c>
    </row>
    <row r="11" spans="2:10" ht="16.5" customHeight="1" x14ac:dyDescent="0.3">
      <c r="B11" s="28" t="s">
        <v>23</v>
      </c>
      <c r="C11" s="29">
        <v>12</v>
      </c>
      <c r="D11" s="29">
        <v>10</v>
      </c>
      <c r="E11" s="29">
        <v>1</v>
      </c>
      <c r="F11" s="29">
        <v>1</v>
      </c>
      <c r="G11" s="30">
        <f>D11/C11</f>
        <v>0.83333333333333337</v>
      </c>
    </row>
    <row r="12" spans="2:10" ht="16.5" customHeight="1" x14ac:dyDescent="0.3">
      <c r="B12" s="25" t="s">
        <v>24</v>
      </c>
      <c r="C12" s="26">
        <v>11</v>
      </c>
      <c r="D12" s="26">
        <v>10</v>
      </c>
      <c r="E12" s="26">
        <v>1</v>
      </c>
      <c r="F12" s="26">
        <v>0</v>
      </c>
      <c r="G12" s="27">
        <f t="shared" si="0"/>
        <v>0.90909090909090906</v>
      </c>
    </row>
    <row r="13" spans="2:10" ht="16.5" customHeight="1" x14ac:dyDescent="0.3">
      <c r="B13" s="28" t="s">
        <v>25</v>
      </c>
      <c r="C13" s="29">
        <v>12</v>
      </c>
      <c r="D13" s="29">
        <v>10</v>
      </c>
      <c r="E13" s="29">
        <v>0</v>
      </c>
      <c r="F13" s="29">
        <v>2</v>
      </c>
      <c r="G13" s="30">
        <f t="shared" si="0"/>
        <v>0.83333333333333337</v>
      </c>
      <c r="J13" s="65"/>
    </row>
    <row r="14" spans="2:10" ht="16.5" customHeight="1" x14ac:dyDescent="0.3">
      <c r="B14" s="25" t="s">
        <v>26</v>
      </c>
      <c r="C14" s="26">
        <v>8</v>
      </c>
      <c r="D14" s="26">
        <v>5</v>
      </c>
      <c r="E14" s="26">
        <v>3</v>
      </c>
      <c r="F14" s="26">
        <v>0</v>
      </c>
      <c r="G14" s="31">
        <f t="shared" si="0"/>
        <v>0.625</v>
      </c>
    </row>
    <row r="15" spans="2:10" ht="16.5" customHeight="1" x14ac:dyDescent="0.3">
      <c r="B15" s="28" t="s">
        <v>27</v>
      </c>
      <c r="C15" s="29">
        <v>15</v>
      </c>
      <c r="D15" s="29">
        <v>15</v>
      </c>
      <c r="E15" s="29">
        <v>0</v>
      </c>
      <c r="F15" s="29">
        <v>0</v>
      </c>
      <c r="G15" s="32">
        <f t="shared" si="0"/>
        <v>1</v>
      </c>
    </row>
    <row r="16" spans="2:10" ht="16.5" customHeight="1" x14ac:dyDescent="0.3">
      <c r="B16" s="25" t="s">
        <v>28</v>
      </c>
      <c r="C16" s="26">
        <v>12</v>
      </c>
      <c r="D16" s="26">
        <v>10</v>
      </c>
      <c r="E16" s="26">
        <v>1</v>
      </c>
      <c r="F16" s="26">
        <v>1</v>
      </c>
      <c r="G16" s="31">
        <f t="shared" si="0"/>
        <v>0.83333333333333337</v>
      </c>
    </row>
    <row r="17" spans="2:7" ht="16.5" customHeight="1" x14ac:dyDescent="0.3">
      <c r="B17" s="28" t="s">
        <v>29</v>
      </c>
      <c r="C17" s="29">
        <v>17</v>
      </c>
      <c r="D17" s="29">
        <v>15</v>
      </c>
      <c r="E17" s="29">
        <v>2</v>
      </c>
      <c r="F17" s="29">
        <v>0</v>
      </c>
      <c r="G17" s="33">
        <f t="shared" si="0"/>
        <v>0.88235294117647056</v>
      </c>
    </row>
    <row r="18" spans="2:7" ht="16.5" customHeight="1" x14ac:dyDescent="0.3">
      <c r="B18" s="25" t="s">
        <v>30</v>
      </c>
      <c r="C18" s="26">
        <v>12</v>
      </c>
      <c r="D18" s="26">
        <v>10</v>
      </c>
      <c r="E18" s="26">
        <v>2</v>
      </c>
      <c r="F18" s="26">
        <v>0</v>
      </c>
      <c r="G18" s="31">
        <f t="shared" si="0"/>
        <v>0.83333333333333337</v>
      </c>
    </row>
    <row r="19" spans="2:7" ht="16.5" customHeight="1" x14ac:dyDescent="0.3">
      <c r="B19" s="11" t="s">
        <v>31</v>
      </c>
      <c r="C19" s="34">
        <f>SUM(C10:C18)</f>
        <v>115</v>
      </c>
      <c r="D19" s="34">
        <f>SUM(D10:D18)</f>
        <v>100</v>
      </c>
      <c r="E19" s="34">
        <f>SUM(E10:E18)</f>
        <v>10</v>
      </c>
      <c r="F19" s="34">
        <f>SUM(F10:F18)</f>
        <v>5</v>
      </c>
      <c r="G19" s="35">
        <f t="shared" si="0"/>
        <v>0.86956521739130432</v>
      </c>
    </row>
    <row r="20" spans="2:7" ht="18" customHeight="1" x14ac:dyDescent="0.3"/>
    <row r="21" spans="2:7" ht="19.5" customHeight="1" x14ac:dyDescent="0.3">
      <c r="B21" s="2" t="s">
        <v>32</v>
      </c>
      <c r="C21" s="2"/>
      <c r="D21" s="2"/>
      <c r="E21" s="2"/>
      <c r="F21" s="2"/>
      <c r="G21" s="2"/>
    </row>
    <row r="22" spans="2:7" ht="18" customHeight="1" x14ac:dyDescent="0.3">
      <c r="B22" s="8" t="s">
        <v>33</v>
      </c>
      <c r="C22" s="8" t="s">
        <v>19</v>
      </c>
      <c r="D22" s="8" t="s">
        <v>1</v>
      </c>
      <c r="E22" s="8" t="s">
        <v>2</v>
      </c>
      <c r="F22" s="8" t="s">
        <v>20</v>
      </c>
      <c r="G22" s="8" t="s">
        <v>21</v>
      </c>
    </row>
    <row r="23" spans="2:7" ht="16.5" customHeight="1" x14ac:dyDescent="0.3">
      <c r="B23" s="25" t="s">
        <v>34</v>
      </c>
      <c r="C23" s="26">
        <v>31</v>
      </c>
      <c r="D23" s="26">
        <v>28</v>
      </c>
      <c r="E23" s="26">
        <v>2</v>
      </c>
      <c r="F23" s="26">
        <v>1</v>
      </c>
      <c r="G23" s="27">
        <f>D23/C23</f>
        <v>0.90322580645161288</v>
      </c>
    </row>
    <row r="24" spans="2:7" ht="16.5" customHeight="1" x14ac:dyDescent="0.3">
      <c r="B24" s="28" t="s">
        <v>35</v>
      </c>
      <c r="C24" s="29">
        <v>26</v>
      </c>
      <c r="D24" s="29">
        <v>23</v>
      </c>
      <c r="E24" s="29">
        <v>2</v>
      </c>
      <c r="F24" s="29">
        <v>1</v>
      </c>
      <c r="G24" s="33">
        <f>D24/C24</f>
        <v>0.88461538461538458</v>
      </c>
    </row>
    <row r="25" spans="2:7" ht="16.5" customHeight="1" x14ac:dyDescent="0.3">
      <c r="B25" s="25" t="s">
        <v>36</v>
      </c>
      <c r="C25" s="26">
        <v>25</v>
      </c>
      <c r="D25" s="26">
        <v>19</v>
      </c>
      <c r="E25" s="26">
        <v>3</v>
      </c>
      <c r="F25" s="26">
        <v>3</v>
      </c>
      <c r="G25" s="27">
        <f>D25/C25</f>
        <v>0.76</v>
      </c>
    </row>
    <row r="26" spans="2:7" ht="16.5" customHeight="1" x14ac:dyDescent="0.3">
      <c r="B26" s="28" t="s">
        <v>37</v>
      </c>
      <c r="C26" s="29">
        <v>33</v>
      </c>
      <c r="D26" s="29">
        <v>30</v>
      </c>
      <c r="E26" s="29">
        <v>3</v>
      </c>
      <c r="F26" s="29">
        <v>0</v>
      </c>
      <c r="G26" s="33">
        <f>D26/C26</f>
        <v>0.90909090909090906</v>
      </c>
    </row>
    <row r="27" spans="2:7" ht="18" customHeight="1" x14ac:dyDescent="0.3"/>
    <row r="28" spans="2:7" ht="18" customHeight="1" x14ac:dyDescent="0.3"/>
    <row r="29" spans="2:7" ht="19.5" customHeight="1" x14ac:dyDescent="0.3">
      <c r="B29" s="2" t="s">
        <v>38</v>
      </c>
      <c r="C29" s="2"/>
      <c r="D29" s="2"/>
      <c r="E29" s="2"/>
      <c r="F29" s="2"/>
      <c r="G29" s="2"/>
    </row>
    <row r="30" spans="2:7" ht="18" customHeight="1" x14ac:dyDescent="0.3">
      <c r="B30" s="8" t="s">
        <v>18</v>
      </c>
      <c r="C30" s="8" t="s">
        <v>39</v>
      </c>
      <c r="D30" s="8" t="s">
        <v>40</v>
      </c>
      <c r="E30" s="8" t="s">
        <v>41</v>
      </c>
      <c r="F30" s="8" t="s">
        <v>42</v>
      </c>
      <c r="G30" s="8" t="s">
        <v>43</v>
      </c>
    </row>
    <row r="31" spans="2:7" ht="16.5" customHeight="1" x14ac:dyDescent="0.3">
      <c r="B31" s="25" t="s">
        <v>22</v>
      </c>
      <c r="C31" s="36">
        <v>2.197943</v>
      </c>
      <c r="D31" s="36">
        <v>1.342881</v>
      </c>
      <c r="E31" s="36">
        <v>3.2698969999999998</v>
      </c>
      <c r="F31" s="37">
        <v>430.18431249999998</v>
      </c>
      <c r="G31" s="37">
        <v>552.27599999999995</v>
      </c>
    </row>
    <row r="32" spans="2:7" ht="16.5" customHeight="1" x14ac:dyDescent="0.3">
      <c r="B32" s="28" t="s">
        <v>23</v>
      </c>
      <c r="C32" s="38">
        <v>2.0545554166666702</v>
      </c>
      <c r="D32" s="38">
        <v>1.5969420000000001</v>
      </c>
      <c r="E32" s="38">
        <v>2.942348</v>
      </c>
      <c r="F32" s="39">
        <v>500.01274999999998</v>
      </c>
      <c r="G32" s="39">
        <v>711.97299999999996</v>
      </c>
    </row>
    <row r="33" spans="2:7" ht="16.5" customHeight="1" x14ac:dyDescent="0.3">
      <c r="B33" s="25" t="s">
        <v>24</v>
      </c>
      <c r="C33" s="36">
        <v>1.94757727272727</v>
      </c>
      <c r="D33" s="36">
        <v>1.5623689999999999</v>
      </c>
      <c r="E33" s="36">
        <v>2.611291</v>
      </c>
      <c r="F33" s="37">
        <v>446.64018181818199</v>
      </c>
      <c r="G33" s="37">
        <v>763.86800000000005</v>
      </c>
    </row>
    <row r="34" spans="2:7" ht="16.5" customHeight="1" x14ac:dyDescent="0.3">
      <c r="B34" s="28" t="s">
        <v>25</v>
      </c>
      <c r="C34" s="38">
        <v>2.3545034166666698</v>
      </c>
      <c r="D34" s="38">
        <v>1.4511289999999999</v>
      </c>
      <c r="E34" s="38">
        <v>3.3867759999999998</v>
      </c>
      <c r="F34" s="39">
        <v>485.07150000000001</v>
      </c>
      <c r="G34" s="39">
        <v>860.39499999999998</v>
      </c>
    </row>
    <row r="35" spans="2:7" ht="16.5" customHeight="1" x14ac:dyDescent="0.3">
      <c r="B35" s="25" t="s">
        <v>26</v>
      </c>
      <c r="C35" s="36">
        <v>1.982164875</v>
      </c>
      <c r="D35" s="36">
        <v>1.451748</v>
      </c>
      <c r="E35" s="36">
        <v>2.6599620000000002</v>
      </c>
      <c r="F35" s="37">
        <v>556.65025000000003</v>
      </c>
      <c r="G35" s="37">
        <v>927.49699999999996</v>
      </c>
    </row>
    <row r="36" spans="2:7" ht="16.5" customHeight="1" x14ac:dyDescent="0.3">
      <c r="B36" s="28" t="s">
        <v>27</v>
      </c>
      <c r="C36" s="38">
        <v>2.1267946000000002</v>
      </c>
      <c r="D36" s="38">
        <v>1.412765</v>
      </c>
      <c r="E36" s="38">
        <v>3.8478379999999999</v>
      </c>
      <c r="F36" s="39">
        <v>433.429466666667</v>
      </c>
      <c r="G36" s="39">
        <v>677.68700000000001</v>
      </c>
    </row>
    <row r="37" spans="2:7" ht="16.5" customHeight="1" x14ac:dyDescent="0.3">
      <c r="B37" s="25" t="s">
        <v>28</v>
      </c>
      <c r="C37" s="36">
        <v>2.0103911666666701</v>
      </c>
      <c r="D37" s="36">
        <v>1.379111</v>
      </c>
      <c r="E37" s="36">
        <v>2.794918</v>
      </c>
      <c r="F37" s="37">
        <v>525.20275000000004</v>
      </c>
      <c r="G37" s="37">
        <v>864.76800000000003</v>
      </c>
    </row>
    <row r="38" spans="2:7" ht="16.5" customHeight="1" x14ac:dyDescent="0.3">
      <c r="B38" s="28" t="s">
        <v>29</v>
      </c>
      <c r="C38" s="38">
        <v>2.0286817058823501</v>
      </c>
      <c r="D38" s="38">
        <v>1.4339219999999999</v>
      </c>
      <c r="E38" s="38">
        <v>3.0824639999999999</v>
      </c>
      <c r="F38" s="39">
        <v>541.51641176470605</v>
      </c>
      <c r="G38" s="39">
        <v>1176.432</v>
      </c>
    </row>
    <row r="39" spans="2:7" ht="16.5" customHeight="1" x14ac:dyDescent="0.3">
      <c r="B39" s="25" t="s">
        <v>30</v>
      </c>
      <c r="C39" s="36">
        <v>2.2665941666666698</v>
      </c>
      <c r="D39" s="36">
        <v>1.453946</v>
      </c>
      <c r="E39" s="36">
        <v>3.172056</v>
      </c>
      <c r="F39" s="37">
        <v>546.81141666666701</v>
      </c>
      <c r="G39" s="37">
        <v>894.48400000000004</v>
      </c>
    </row>
    <row r="40" spans="2:7" ht="18" customHeight="1" x14ac:dyDescent="0.3"/>
    <row r="41" spans="2:7" ht="18" customHeight="1" x14ac:dyDescent="0.3"/>
    <row r="42" spans="2:7" ht="19.5" customHeight="1" x14ac:dyDescent="0.3">
      <c r="B42" s="2" t="s">
        <v>44</v>
      </c>
      <c r="C42" s="2"/>
      <c r="D42" s="2"/>
      <c r="E42" s="2"/>
      <c r="F42" s="2"/>
    </row>
    <row r="43" spans="2:7" ht="18" customHeight="1" x14ac:dyDescent="0.3">
      <c r="B43" s="8" t="s">
        <v>45</v>
      </c>
      <c r="C43" s="8" t="s">
        <v>46</v>
      </c>
      <c r="D43" s="8" t="s">
        <v>47</v>
      </c>
      <c r="E43" s="8" t="s">
        <v>1</v>
      </c>
      <c r="F43" s="8" t="s">
        <v>48</v>
      </c>
    </row>
    <row r="44" spans="2:7" ht="16.5" customHeight="1" x14ac:dyDescent="0.3">
      <c r="B44" s="25" t="s">
        <v>49</v>
      </c>
      <c r="C44" s="26">
        <v>43</v>
      </c>
      <c r="D44" s="27">
        <v>0.37391304347826099</v>
      </c>
      <c r="E44" s="26">
        <v>40</v>
      </c>
      <c r="F44" s="26">
        <v>3</v>
      </c>
    </row>
    <row r="45" spans="2:7" ht="16.5" customHeight="1" x14ac:dyDescent="0.3">
      <c r="B45" s="28" t="s">
        <v>50</v>
      </c>
      <c r="C45" s="29">
        <v>47</v>
      </c>
      <c r="D45" s="33">
        <v>0.40869565217391302</v>
      </c>
      <c r="E45" s="29">
        <v>45</v>
      </c>
      <c r="F45" s="29">
        <v>2</v>
      </c>
    </row>
    <row r="46" spans="2:7" ht="16.5" customHeight="1" x14ac:dyDescent="0.3">
      <c r="B46" s="25" t="s">
        <v>51</v>
      </c>
      <c r="C46" s="26">
        <v>23</v>
      </c>
      <c r="D46" s="27">
        <v>0.2</v>
      </c>
      <c r="E46" s="26">
        <v>15</v>
      </c>
      <c r="F46" s="26">
        <v>8</v>
      </c>
    </row>
    <row r="47" spans="2:7" ht="16.5" customHeight="1" x14ac:dyDescent="0.3">
      <c r="B47" s="28" t="s">
        <v>52</v>
      </c>
      <c r="C47" s="29">
        <v>2</v>
      </c>
      <c r="D47" s="33">
        <v>1.7391304347826101E-2</v>
      </c>
      <c r="E47" s="29">
        <v>0</v>
      </c>
      <c r="F47" s="29">
        <v>2</v>
      </c>
    </row>
    <row r="48" spans="2:7" ht="18" customHeight="1" x14ac:dyDescent="0.3"/>
    <row r="49" spans="2:8" ht="18" customHeight="1" x14ac:dyDescent="0.3"/>
    <row r="50" spans="2:8" ht="19.5" customHeight="1" x14ac:dyDescent="0.3">
      <c r="B50" s="2" t="s">
        <v>53</v>
      </c>
      <c r="C50" s="2"/>
      <c r="D50" s="2"/>
      <c r="E50" s="2"/>
      <c r="F50" s="2"/>
      <c r="G50" s="2"/>
      <c r="H50" s="2"/>
    </row>
    <row r="51" spans="2:8" ht="18" customHeight="1" x14ac:dyDescent="0.3">
      <c r="B51" s="8" t="s">
        <v>54</v>
      </c>
      <c r="C51" s="8" t="s">
        <v>18</v>
      </c>
      <c r="D51" s="8" t="s">
        <v>33</v>
      </c>
      <c r="E51" s="8" t="s">
        <v>55</v>
      </c>
      <c r="F51" s="8" t="s">
        <v>56</v>
      </c>
      <c r="G51" s="8" t="s">
        <v>57</v>
      </c>
      <c r="H51" s="8" t="s">
        <v>58</v>
      </c>
    </row>
    <row r="52" spans="2:8" ht="24" customHeight="1" x14ac:dyDescent="0.3">
      <c r="B52" s="25" t="s">
        <v>59</v>
      </c>
      <c r="C52" s="25" t="s">
        <v>27</v>
      </c>
      <c r="D52" s="25" t="s">
        <v>37</v>
      </c>
      <c r="E52" s="40" t="s">
        <v>1</v>
      </c>
      <c r="F52" s="36">
        <v>3.8478379999999999</v>
      </c>
      <c r="G52" s="37">
        <v>524.94399999999996</v>
      </c>
      <c r="H52" s="26">
        <v>0</v>
      </c>
    </row>
    <row r="53" spans="2:8" ht="24" customHeight="1" x14ac:dyDescent="0.3">
      <c r="B53" s="28" t="s">
        <v>60</v>
      </c>
      <c r="C53" s="28" t="s">
        <v>25</v>
      </c>
      <c r="D53" s="28" t="s">
        <v>37</v>
      </c>
      <c r="E53" s="41" t="s">
        <v>1</v>
      </c>
      <c r="F53" s="38">
        <v>3.3867759999999998</v>
      </c>
      <c r="G53" s="39">
        <v>398.99299999999999</v>
      </c>
      <c r="H53" s="29">
        <v>0</v>
      </c>
    </row>
    <row r="54" spans="2:8" ht="16.5" customHeight="1" x14ac:dyDescent="0.3">
      <c r="B54" s="25" t="s">
        <v>61</v>
      </c>
      <c r="C54" s="25" t="s">
        <v>22</v>
      </c>
      <c r="D54" s="25" t="s">
        <v>35</v>
      </c>
      <c r="E54" s="40" t="s">
        <v>1</v>
      </c>
      <c r="F54" s="36">
        <v>3.2698969999999998</v>
      </c>
      <c r="G54" s="37">
        <v>493.86500000000001</v>
      </c>
      <c r="H54" s="26">
        <v>0</v>
      </c>
    </row>
    <row r="55" spans="2:8" ht="16.5" customHeight="1" x14ac:dyDescent="0.3">
      <c r="B55" s="28" t="s">
        <v>62</v>
      </c>
      <c r="C55" s="28" t="s">
        <v>30</v>
      </c>
      <c r="D55" s="28" t="s">
        <v>35</v>
      </c>
      <c r="E55" s="42" t="s">
        <v>2</v>
      </c>
      <c r="F55" s="38">
        <v>3.172056</v>
      </c>
      <c r="G55" s="39">
        <v>758.66800000000001</v>
      </c>
      <c r="H55" s="29">
        <v>2</v>
      </c>
    </row>
    <row r="56" spans="2:8" ht="24.6" customHeight="1" x14ac:dyDescent="0.3">
      <c r="B56" s="25" t="s">
        <v>63</v>
      </c>
      <c r="C56" s="25" t="s">
        <v>25</v>
      </c>
      <c r="D56" s="25" t="s">
        <v>36</v>
      </c>
      <c r="E56" s="43" t="s">
        <v>20</v>
      </c>
      <c r="F56" s="36">
        <v>3.1492450000000001</v>
      </c>
      <c r="G56" s="37">
        <v>346.23899999999998</v>
      </c>
      <c r="H56" s="26">
        <v>0</v>
      </c>
    </row>
    <row r="57" spans="2:8" ht="16.5" customHeight="1" x14ac:dyDescent="0.3">
      <c r="B57" s="28" t="s">
        <v>64</v>
      </c>
      <c r="C57" s="28" t="s">
        <v>30</v>
      </c>
      <c r="D57" s="28" t="s">
        <v>34</v>
      </c>
      <c r="E57" s="41" t="s">
        <v>1</v>
      </c>
      <c r="F57" s="38">
        <v>3.1210140000000002</v>
      </c>
      <c r="G57" s="39">
        <v>894.48400000000004</v>
      </c>
      <c r="H57" s="29">
        <v>2</v>
      </c>
    </row>
    <row r="58" spans="2:8" ht="16.5" customHeight="1" x14ac:dyDescent="0.3">
      <c r="B58" s="25" t="s">
        <v>65</v>
      </c>
      <c r="C58" s="25" t="s">
        <v>29</v>
      </c>
      <c r="D58" s="25" t="s">
        <v>34</v>
      </c>
      <c r="E58" s="40" t="s">
        <v>1</v>
      </c>
      <c r="F58" s="36">
        <v>3.0824639999999999</v>
      </c>
      <c r="G58" s="37">
        <v>609.255</v>
      </c>
      <c r="H58" s="26">
        <v>2</v>
      </c>
    </row>
    <row r="59" spans="2:8" ht="16.5" customHeight="1" x14ac:dyDescent="0.3">
      <c r="B59" s="28" t="s">
        <v>66</v>
      </c>
      <c r="C59" s="28" t="s">
        <v>23</v>
      </c>
      <c r="D59" s="28" t="s">
        <v>34</v>
      </c>
      <c r="E59" s="41" t="s">
        <v>1</v>
      </c>
      <c r="F59" s="38">
        <v>2.942348</v>
      </c>
      <c r="G59" s="39">
        <v>638.524</v>
      </c>
      <c r="H59" s="29">
        <v>1</v>
      </c>
    </row>
    <row r="60" spans="2:8" ht="16.5" customHeight="1" x14ac:dyDescent="0.3">
      <c r="B60" s="25" t="s">
        <v>67</v>
      </c>
      <c r="C60" s="25" t="s">
        <v>29</v>
      </c>
      <c r="D60" s="25" t="s">
        <v>37</v>
      </c>
      <c r="E60" s="44" t="s">
        <v>2</v>
      </c>
      <c r="F60" s="36">
        <v>2.894838</v>
      </c>
      <c r="G60" s="37">
        <v>1176.432</v>
      </c>
      <c r="H60" s="26">
        <v>2</v>
      </c>
    </row>
    <row r="61" spans="2:8" ht="16.5" customHeight="1" x14ac:dyDescent="0.3">
      <c r="B61" s="28" t="s">
        <v>68</v>
      </c>
      <c r="C61" s="28" t="s">
        <v>28</v>
      </c>
      <c r="D61" s="28" t="s">
        <v>35</v>
      </c>
      <c r="E61" s="41" t="s">
        <v>1</v>
      </c>
      <c r="F61" s="38">
        <v>2.794918</v>
      </c>
      <c r="G61" s="39">
        <v>621.60400000000004</v>
      </c>
      <c r="H61" s="29">
        <v>1</v>
      </c>
    </row>
    <row r="62" spans="2:8" ht="18" customHeight="1" x14ac:dyDescent="0.3"/>
    <row r="63" spans="2:8" ht="18" customHeight="1" x14ac:dyDescent="0.3"/>
    <row r="64" spans="2:8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</sheetData>
  <mergeCells count="6">
    <mergeCell ref="B50:H50"/>
    <mergeCell ref="B1:J2"/>
    <mergeCell ref="B8:G8"/>
    <mergeCell ref="B21:G21"/>
    <mergeCell ref="B29:G29"/>
    <mergeCell ref="B42:F4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48A81"/>
  </sheetPr>
  <dimension ref="A1:O116"/>
  <sheetViews>
    <sheetView showGridLines="0" zoomScaleNormal="100" workbookViewId="0">
      <pane ySplit="1" topLeftCell="A2" activePane="bottomLeft" state="frozen"/>
      <selection pane="bottomLeft" activeCell="B73" sqref="B73"/>
    </sheetView>
  </sheetViews>
  <sheetFormatPr defaultColWidth="8.6640625" defaultRowHeight="14.4" x14ac:dyDescent="0.3"/>
  <cols>
    <col min="1" max="1" width="38" customWidth="1"/>
    <col min="2" max="2" width="22" customWidth="1"/>
    <col min="3" max="3" width="26" customWidth="1"/>
    <col min="4" max="7" width="13" customWidth="1"/>
    <col min="8" max="9" width="14" customWidth="1"/>
    <col min="10" max="10" width="15" customWidth="1"/>
    <col min="11" max="14" width="12" customWidth="1"/>
    <col min="15" max="15" width="16" customWidth="1"/>
  </cols>
  <sheetData>
    <row r="1" spans="1:15" ht="19.5" customHeight="1" x14ac:dyDescent="0.3">
      <c r="A1" s="11" t="s">
        <v>54</v>
      </c>
      <c r="B1" s="11" t="s">
        <v>18</v>
      </c>
      <c r="C1" s="11" t="s">
        <v>69</v>
      </c>
      <c r="D1" s="11" t="s">
        <v>33</v>
      </c>
      <c r="E1" s="11" t="s">
        <v>55</v>
      </c>
      <c r="F1" s="11" t="s">
        <v>57</v>
      </c>
      <c r="G1" s="11" t="s">
        <v>70</v>
      </c>
      <c r="H1" s="11" t="s">
        <v>71</v>
      </c>
      <c r="I1" s="11" t="s">
        <v>7</v>
      </c>
      <c r="J1" s="11" t="s">
        <v>8</v>
      </c>
      <c r="K1" s="11" t="s">
        <v>72</v>
      </c>
      <c r="L1" s="11" t="s">
        <v>45</v>
      </c>
      <c r="M1" s="11" t="s">
        <v>73</v>
      </c>
      <c r="N1" s="11" t="s">
        <v>74</v>
      </c>
      <c r="O1" s="11" t="s">
        <v>75</v>
      </c>
    </row>
    <row r="2" spans="1:15" ht="15.75" customHeight="1" x14ac:dyDescent="0.3">
      <c r="A2" s="45" t="s">
        <v>76</v>
      </c>
      <c r="B2" s="46" t="s">
        <v>25</v>
      </c>
      <c r="C2" s="46" t="s">
        <v>77</v>
      </c>
      <c r="D2" s="46" t="s">
        <v>36</v>
      </c>
      <c r="E2" s="47" t="s">
        <v>20</v>
      </c>
      <c r="F2" s="48">
        <v>414.84699999999998</v>
      </c>
      <c r="G2" s="49">
        <v>2.2477269999999998</v>
      </c>
      <c r="H2" s="50">
        <v>14184</v>
      </c>
      <c r="I2" s="50">
        <v>23609</v>
      </c>
      <c r="J2" s="50">
        <v>314</v>
      </c>
      <c r="K2" s="50">
        <v>0</v>
      </c>
      <c r="L2" s="50">
        <v>1</v>
      </c>
      <c r="M2" s="50">
        <v>1</v>
      </c>
      <c r="N2" s="50">
        <v>1</v>
      </c>
      <c r="O2" s="50">
        <v>1</v>
      </c>
    </row>
    <row r="3" spans="1:15" ht="15.75" customHeight="1" x14ac:dyDescent="0.3">
      <c r="A3" s="51" t="s">
        <v>78</v>
      </c>
      <c r="B3" s="28" t="s">
        <v>27</v>
      </c>
      <c r="C3" s="28" t="s">
        <v>79</v>
      </c>
      <c r="D3" s="28" t="s">
        <v>34</v>
      </c>
      <c r="E3" s="41" t="s">
        <v>1</v>
      </c>
      <c r="F3" s="39">
        <v>428.19600000000003</v>
      </c>
      <c r="G3" s="38">
        <v>2.3321969999999999</v>
      </c>
      <c r="H3" s="29">
        <v>21677</v>
      </c>
      <c r="I3" s="29">
        <v>30391</v>
      </c>
      <c r="J3" s="29">
        <v>133</v>
      </c>
      <c r="K3" s="29">
        <v>1</v>
      </c>
      <c r="L3" s="29">
        <v>1</v>
      </c>
      <c r="M3" s="29">
        <v>1</v>
      </c>
      <c r="N3" s="29">
        <v>1</v>
      </c>
      <c r="O3" s="29">
        <v>1</v>
      </c>
    </row>
    <row r="4" spans="1:15" ht="15.75" customHeight="1" x14ac:dyDescent="0.3">
      <c r="A4" s="45" t="s">
        <v>61</v>
      </c>
      <c r="B4" s="46" t="s">
        <v>22</v>
      </c>
      <c r="C4" s="46" t="s">
        <v>80</v>
      </c>
      <c r="D4" s="46" t="s">
        <v>35</v>
      </c>
      <c r="E4" s="52" t="s">
        <v>1</v>
      </c>
      <c r="F4" s="48">
        <v>493.86500000000001</v>
      </c>
      <c r="G4" s="49">
        <v>3.2698969999999998</v>
      </c>
      <c r="H4" s="50">
        <v>8869</v>
      </c>
      <c r="I4" s="50">
        <v>33239</v>
      </c>
      <c r="J4" s="50">
        <v>614</v>
      </c>
      <c r="K4" s="50">
        <v>1</v>
      </c>
      <c r="L4" s="50">
        <v>0</v>
      </c>
      <c r="M4" s="50">
        <v>1</v>
      </c>
      <c r="N4" s="50">
        <v>1</v>
      </c>
      <c r="O4" s="50">
        <v>1</v>
      </c>
    </row>
    <row r="5" spans="1:15" ht="15.75" customHeight="1" x14ac:dyDescent="0.3">
      <c r="A5" s="51" t="s">
        <v>81</v>
      </c>
      <c r="B5" s="28" t="s">
        <v>22</v>
      </c>
      <c r="C5" s="28" t="s">
        <v>80</v>
      </c>
      <c r="D5" s="28" t="s">
        <v>36</v>
      </c>
      <c r="E5" s="41" t="s">
        <v>1</v>
      </c>
      <c r="F5" s="39">
        <v>508.78800000000001</v>
      </c>
      <c r="G5" s="38">
        <v>2.1983480000000002</v>
      </c>
      <c r="H5" s="29">
        <v>17740</v>
      </c>
      <c r="I5" s="29">
        <v>33622</v>
      </c>
      <c r="J5" s="29">
        <v>403</v>
      </c>
      <c r="K5" s="29">
        <v>1</v>
      </c>
      <c r="L5" s="29">
        <v>1</v>
      </c>
      <c r="M5" s="29">
        <v>1</v>
      </c>
      <c r="N5" s="29">
        <v>1</v>
      </c>
      <c r="O5" s="29">
        <v>1</v>
      </c>
    </row>
    <row r="6" spans="1:15" ht="15.75" customHeight="1" x14ac:dyDescent="0.3">
      <c r="A6" s="45" t="s">
        <v>82</v>
      </c>
      <c r="B6" s="46" t="s">
        <v>25</v>
      </c>
      <c r="C6" s="46" t="s">
        <v>77</v>
      </c>
      <c r="D6" s="46" t="s">
        <v>36</v>
      </c>
      <c r="E6" s="52" t="s">
        <v>1</v>
      </c>
      <c r="F6" s="48">
        <v>376.57299999999998</v>
      </c>
      <c r="G6" s="49">
        <v>2.5633590000000002</v>
      </c>
      <c r="H6" s="50">
        <v>16140</v>
      </c>
      <c r="I6" s="50">
        <v>28802</v>
      </c>
      <c r="J6" s="50">
        <v>343</v>
      </c>
      <c r="K6" s="50">
        <v>1</v>
      </c>
      <c r="L6" s="50">
        <v>1</v>
      </c>
      <c r="M6" s="50">
        <v>1</v>
      </c>
      <c r="N6" s="50">
        <v>1</v>
      </c>
      <c r="O6" s="50">
        <v>1</v>
      </c>
    </row>
    <row r="7" spans="1:15" ht="15.75" customHeight="1" x14ac:dyDescent="0.3">
      <c r="A7" s="51" t="s">
        <v>83</v>
      </c>
      <c r="B7" s="28" t="s">
        <v>22</v>
      </c>
      <c r="C7" s="28" t="s">
        <v>84</v>
      </c>
      <c r="D7" s="28" t="s">
        <v>35</v>
      </c>
      <c r="E7" s="41" t="s">
        <v>1</v>
      </c>
      <c r="F7" s="39">
        <v>393.62299999999999</v>
      </c>
      <c r="G7" s="38">
        <v>1.880558</v>
      </c>
      <c r="H7" s="29">
        <v>15076</v>
      </c>
      <c r="I7" s="29">
        <v>27572</v>
      </c>
      <c r="J7" s="29">
        <v>377</v>
      </c>
      <c r="K7" s="29">
        <v>1</v>
      </c>
      <c r="L7" s="29">
        <v>1</v>
      </c>
      <c r="M7" s="29">
        <v>1</v>
      </c>
      <c r="N7" s="29">
        <v>1</v>
      </c>
      <c r="O7" s="29">
        <v>1</v>
      </c>
    </row>
    <row r="8" spans="1:15" ht="15.75" customHeight="1" x14ac:dyDescent="0.3">
      <c r="A8" s="45" t="s">
        <v>85</v>
      </c>
      <c r="B8" s="46" t="s">
        <v>28</v>
      </c>
      <c r="C8" s="46" t="s">
        <v>86</v>
      </c>
      <c r="D8" s="46" t="s">
        <v>34</v>
      </c>
      <c r="E8" s="52" t="s">
        <v>1</v>
      </c>
      <c r="F8" s="48">
        <v>425.36</v>
      </c>
      <c r="G8" s="49">
        <v>1.8095810000000001</v>
      </c>
      <c r="H8" s="50">
        <v>16341</v>
      </c>
      <c r="I8" s="50">
        <v>27256</v>
      </c>
      <c r="J8" s="50">
        <v>335</v>
      </c>
      <c r="K8" s="50">
        <v>1</v>
      </c>
      <c r="L8" s="50">
        <v>1</v>
      </c>
      <c r="M8" s="50">
        <v>1</v>
      </c>
      <c r="N8" s="50">
        <v>1</v>
      </c>
      <c r="O8" s="50">
        <v>1</v>
      </c>
    </row>
    <row r="9" spans="1:15" ht="15.75" customHeight="1" x14ac:dyDescent="0.3">
      <c r="A9" s="51" t="s">
        <v>87</v>
      </c>
      <c r="B9" s="28" t="s">
        <v>24</v>
      </c>
      <c r="C9" s="28" t="s">
        <v>88</v>
      </c>
      <c r="D9" s="28" t="s">
        <v>34</v>
      </c>
      <c r="E9" s="41" t="s">
        <v>1</v>
      </c>
      <c r="F9" s="39">
        <v>399.178</v>
      </c>
      <c r="G9" s="38">
        <v>1.5623689999999999</v>
      </c>
      <c r="H9" s="29">
        <v>14290</v>
      </c>
      <c r="I9" s="29">
        <v>22107</v>
      </c>
      <c r="J9" s="29">
        <v>320</v>
      </c>
      <c r="K9" s="29">
        <v>1</v>
      </c>
      <c r="L9" s="29">
        <v>1</v>
      </c>
      <c r="M9" s="29">
        <v>1</v>
      </c>
      <c r="N9" s="29">
        <v>1</v>
      </c>
      <c r="O9" s="29">
        <v>1</v>
      </c>
    </row>
    <row r="10" spans="1:15" ht="15.75" customHeight="1" x14ac:dyDescent="0.3">
      <c r="A10" s="45" t="s">
        <v>89</v>
      </c>
      <c r="B10" s="46" t="s">
        <v>24</v>
      </c>
      <c r="C10" s="46" t="s">
        <v>90</v>
      </c>
      <c r="D10" s="46" t="s">
        <v>34</v>
      </c>
      <c r="E10" s="52" t="s">
        <v>1</v>
      </c>
      <c r="F10" s="48">
        <v>402.93099999999998</v>
      </c>
      <c r="G10" s="49">
        <v>1.5766340000000001</v>
      </c>
      <c r="H10" s="50">
        <v>17902</v>
      </c>
      <c r="I10" s="50">
        <v>24826</v>
      </c>
      <c r="J10" s="50">
        <v>218</v>
      </c>
      <c r="K10" s="50">
        <v>1</v>
      </c>
      <c r="L10" s="50">
        <v>1</v>
      </c>
      <c r="M10" s="50">
        <v>1</v>
      </c>
      <c r="N10" s="50">
        <v>1</v>
      </c>
      <c r="O10" s="50">
        <v>1</v>
      </c>
    </row>
    <row r="11" spans="1:15" ht="15.75" customHeight="1" x14ac:dyDescent="0.3">
      <c r="A11" s="51" t="s">
        <v>91</v>
      </c>
      <c r="B11" s="28" t="s">
        <v>29</v>
      </c>
      <c r="C11" s="28" t="s">
        <v>92</v>
      </c>
      <c r="D11" s="28" t="s">
        <v>37</v>
      </c>
      <c r="E11" s="41" t="s">
        <v>1</v>
      </c>
      <c r="F11" s="39">
        <v>314.58199999999999</v>
      </c>
      <c r="G11" s="38">
        <v>1.6539060000000001</v>
      </c>
      <c r="H11" s="29">
        <v>10353</v>
      </c>
      <c r="I11" s="29">
        <v>19456</v>
      </c>
      <c r="J11" s="29">
        <v>133</v>
      </c>
      <c r="K11" s="29">
        <v>1</v>
      </c>
      <c r="L11" s="29">
        <v>0</v>
      </c>
      <c r="M11" s="29">
        <v>1</v>
      </c>
      <c r="N11" s="29">
        <v>1</v>
      </c>
      <c r="O11" s="29">
        <v>1</v>
      </c>
    </row>
    <row r="12" spans="1:15" ht="15.75" customHeight="1" x14ac:dyDescent="0.3">
      <c r="A12" s="45" t="s">
        <v>93</v>
      </c>
      <c r="B12" s="46" t="s">
        <v>29</v>
      </c>
      <c r="C12" s="46" t="s">
        <v>94</v>
      </c>
      <c r="D12" s="46" t="s">
        <v>37</v>
      </c>
      <c r="E12" s="52" t="s">
        <v>1</v>
      </c>
      <c r="F12" s="48">
        <v>1022.425</v>
      </c>
      <c r="G12" s="49">
        <v>1.4339219999999999</v>
      </c>
      <c r="H12" s="50">
        <v>9315</v>
      </c>
      <c r="I12" s="50">
        <v>16802</v>
      </c>
      <c r="J12" s="50">
        <v>234</v>
      </c>
      <c r="K12" s="50">
        <v>1</v>
      </c>
      <c r="L12" s="50">
        <v>0</v>
      </c>
      <c r="M12" s="50">
        <v>1</v>
      </c>
      <c r="N12" s="50">
        <v>1</v>
      </c>
      <c r="O12" s="50">
        <v>1</v>
      </c>
    </row>
    <row r="13" spans="1:15" ht="15.75" customHeight="1" x14ac:dyDescent="0.3">
      <c r="A13" s="51" t="s">
        <v>95</v>
      </c>
      <c r="B13" s="28" t="s">
        <v>30</v>
      </c>
      <c r="C13" s="28" t="s">
        <v>96</v>
      </c>
      <c r="D13" s="28" t="s">
        <v>37</v>
      </c>
      <c r="E13" s="41" t="s">
        <v>1</v>
      </c>
      <c r="F13" s="39">
        <v>811.67499999999995</v>
      </c>
      <c r="G13" s="38">
        <v>2.3549950000000002</v>
      </c>
      <c r="H13" s="29">
        <v>17796</v>
      </c>
      <c r="I13" s="29">
        <v>33491</v>
      </c>
      <c r="J13" s="29">
        <v>367</v>
      </c>
      <c r="K13" s="29">
        <v>1</v>
      </c>
      <c r="L13" s="29">
        <v>1</v>
      </c>
      <c r="M13" s="29">
        <v>1</v>
      </c>
      <c r="N13" s="29">
        <v>1</v>
      </c>
      <c r="O13" s="29">
        <v>1</v>
      </c>
    </row>
    <row r="14" spans="1:15" ht="15.75" customHeight="1" x14ac:dyDescent="0.3">
      <c r="A14" s="45" t="s">
        <v>97</v>
      </c>
      <c r="B14" s="46" t="s">
        <v>25</v>
      </c>
      <c r="C14" s="46" t="s">
        <v>77</v>
      </c>
      <c r="D14" s="46" t="s">
        <v>37</v>
      </c>
      <c r="E14" s="52" t="s">
        <v>1</v>
      </c>
      <c r="F14" s="48">
        <v>424.35</v>
      </c>
      <c r="G14" s="49">
        <v>2.1264810000000001</v>
      </c>
      <c r="H14" s="50">
        <v>9917</v>
      </c>
      <c r="I14" s="50">
        <v>25805</v>
      </c>
      <c r="J14" s="50">
        <v>484</v>
      </c>
      <c r="K14" s="50">
        <v>1</v>
      </c>
      <c r="L14" s="50">
        <v>0</v>
      </c>
      <c r="M14" s="50">
        <v>1</v>
      </c>
      <c r="N14" s="50">
        <v>1</v>
      </c>
      <c r="O14" s="50">
        <v>1</v>
      </c>
    </row>
    <row r="15" spans="1:15" ht="15.75" customHeight="1" x14ac:dyDescent="0.3">
      <c r="A15" s="51" t="s">
        <v>98</v>
      </c>
      <c r="B15" s="28" t="s">
        <v>22</v>
      </c>
      <c r="C15" s="28" t="s">
        <v>84</v>
      </c>
      <c r="D15" s="28" t="s">
        <v>35</v>
      </c>
      <c r="E15" s="41" t="s">
        <v>1</v>
      </c>
      <c r="F15" s="39">
        <v>400.85899999999998</v>
      </c>
      <c r="G15" s="38">
        <v>2.1970290000000001</v>
      </c>
      <c r="H15" s="29">
        <v>9659</v>
      </c>
      <c r="I15" s="29">
        <v>26811</v>
      </c>
      <c r="J15" s="29">
        <v>506</v>
      </c>
      <c r="K15" s="29">
        <v>1</v>
      </c>
      <c r="L15" s="29">
        <v>0</v>
      </c>
      <c r="M15" s="29">
        <v>1</v>
      </c>
      <c r="N15" s="29">
        <v>1</v>
      </c>
      <c r="O15" s="29">
        <v>1</v>
      </c>
    </row>
    <row r="16" spans="1:15" ht="15.75" customHeight="1" x14ac:dyDescent="0.3">
      <c r="A16" s="45" t="s">
        <v>99</v>
      </c>
      <c r="B16" s="46" t="s">
        <v>22</v>
      </c>
      <c r="C16" s="46" t="s">
        <v>100</v>
      </c>
      <c r="D16" s="46" t="s">
        <v>34</v>
      </c>
      <c r="E16" s="52" t="s">
        <v>1</v>
      </c>
      <c r="F16" s="48">
        <v>462.14299999999997</v>
      </c>
      <c r="G16" s="49">
        <v>2.6010270000000002</v>
      </c>
      <c r="H16" s="50">
        <v>10192</v>
      </c>
      <c r="I16" s="50">
        <v>32176</v>
      </c>
      <c r="J16" s="50">
        <v>437</v>
      </c>
      <c r="K16" s="50">
        <v>1</v>
      </c>
      <c r="L16" s="50">
        <v>0</v>
      </c>
      <c r="M16" s="50">
        <v>1</v>
      </c>
      <c r="N16" s="50">
        <v>1</v>
      </c>
      <c r="O16" s="50">
        <v>1</v>
      </c>
    </row>
    <row r="17" spans="1:15" ht="15.75" customHeight="1" x14ac:dyDescent="0.3">
      <c r="A17" s="51" t="s">
        <v>101</v>
      </c>
      <c r="B17" s="28" t="s">
        <v>30</v>
      </c>
      <c r="C17" s="28" t="s">
        <v>96</v>
      </c>
      <c r="D17" s="28" t="s">
        <v>36</v>
      </c>
      <c r="E17" s="41" t="s">
        <v>1</v>
      </c>
      <c r="F17" s="39">
        <v>290.00799999999998</v>
      </c>
      <c r="G17" s="38">
        <v>1.6779329999999999</v>
      </c>
      <c r="H17" s="29">
        <v>10326</v>
      </c>
      <c r="I17" s="29">
        <v>19736</v>
      </c>
      <c r="J17" s="29">
        <v>288</v>
      </c>
      <c r="K17" s="29">
        <v>1</v>
      </c>
      <c r="L17" s="29">
        <v>0</v>
      </c>
      <c r="M17" s="29">
        <v>1</v>
      </c>
      <c r="N17" s="29">
        <v>1</v>
      </c>
      <c r="O17" s="29">
        <v>1</v>
      </c>
    </row>
    <row r="18" spans="1:15" ht="15.75" customHeight="1" x14ac:dyDescent="0.3">
      <c r="A18" s="45" t="s">
        <v>102</v>
      </c>
      <c r="B18" s="46" t="s">
        <v>26</v>
      </c>
      <c r="C18" s="46" t="s">
        <v>103</v>
      </c>
      <c r="D18" s="46" t="s">
        <v>36</v>
      </c>
      <c r="E18" s="52" t="s">
        <v>1</v>
      </c>
      <c r="F18" s="48">
        <v>472.53</v>
      </c>
      <c r="G18" s="49">
        <v>1.5927230000000001</v>
      </c>
      <c r="H18" s="50">
        <v>20862</v>
      </c>
      <c r="I18" s="50">
        <v>28689</v>
      </c>
      <c r="J18" s="50">
        <v>241</v>
      </c>
      <c r="K18" s="50">
        <v>1</v>
      </c>
      <c r="L18" s="50">
        <v>1</v>
      </c>
      <c r="M18" s="50">
        <v>1</v>
      </c>
      <c r="N18" s="50">
        <v>1</v>
      </c>
      <c r="O18" s="50">
        <v>1</v>
      </c>
    </row>
    <row r="19" spans="1:15" ht="15.75" customHeight="1" x14ac:dyDescent="0.3">
      <c r="A19" s="51" t="s">
        <v>104</v>
      </c>
      <c r="B19" s="28" t="s">
        <v>29</v>
      </c>
      <c r="C19" s="28" t="s">
        <v>94</v>
      </c>
      <c r="D19" s="28" t="s">
        <v>34</v>
      </c>
      <c r="E19" s="41" t="s">
        <v>1</v>
      </c>
      <c r="F19" s="39">
        <v>647.54999999999995</v>
      </c>
      <c r="G19" s="38">
        <v>2.284796</v>
      </c>
      <c r="H19" s="29">
        <v>20544</v>
      </c>
      <c r="I19" s="29">
        <v>35882</v>
      </c>
      <c r="J19" s="29">
        <v>467</v>
      </c>
      <c r="K19" s="29">
        <v>1</v>
      </c>
      <c r="L19" s="29">
        <v>1</v>
      </c>
      <c r="M19" s="29">
        <v>1</v>
      </c>
      <c r="N19" s="29">
        <v>1</v>
      </c>
      <c r="O19" s="29">
        <v>1</v>
      </c>
    </row>
    <row r="20" spans="1:15" ht="15.75" customHeight="1" x14ac:dyDescent="0.3">
      <c r="A20" s="45" t="s">
        <v>64</v>
      </c>
      <c r="B20" s="46" t="s">
        <v>30</v>
      </c>
      <c r="C20" s="46" t="s">
        <v>105</v>
      </c>
      <c r="D20" s="46" t="s">
        <v>34</v>
      </c>
      <c r="E20" s="52" t="s">
        <v>1</v>
      </c>
      <c r="F20" s="48">
        <v>894.48400000000004</v>
      </c>
      <c r="G20" s="49">
        <v>3.1210140000000002</v>
      </c>
      <c r="H20" s="50">
        <v>30440</v>
      </c>
      <c r="I20" s="50">
        <v>53963</v>
      </c>
      <c r="J20" s="50">
        <v>594</v>
      </c>
      <c r="K20" s="50">
        <v>1</v>
      </c>
      <c r="L20" s="50">
        <v>2</v>
      </c>
      <c r="M20" s="50">
        <v>1</v>
      </c>
      <c r="N20" s="50">
        <v>1</v>
      </c>
      <c r="O20" s="50">
        <v>1</v>
      </c>
    </row>
    <row r="21" spans="1:15" ht="15.75" customHeight="1" x14ac:dyDescent="0.3">
      <c r="A21" s="51" t="s">
        <v>106</v>
      </c>
      <c r="B21" s="28" t="s">
        <v>25</v>
      </c>
      <c r="C21" s="28" t="s">
        <v>107</v>
      </c>
      <c r="D21" s="28" t="s">
        <v>34</v>
      </c>
      <c r="E21" s="41" t="s">
        <v>1</v>
      </c>
      <c r="F21" s="39">
        <v>339.65100000000001</v>
      </c>
      <c r="G21" s="38">
        <v>1.4511289999999999</v>
      </c>
      <c r="H21" s="29">
        <v>14621</v>
      </c>
      <c r="I21" s="29">
        <v>20148</v>
      </c>
      <c r="J21" s="29">
        <v>259</v>
      </c>
      <c r="K21" s="29">
        <v>1</v>
      </c>
      <c r="L21" s="29">
        <v>1</v>
      </c>
      <c r="M21" s="29">
        <v>1</v>
      </c>
      <c r="N21" s="29">
        <v>1</v>
      </c>
      <c r="O21" s="29">
        <v>1</v>
      </c>
    </row>
    <row r="22" spans="1:15" ht="15.75" customHeight="1" x14ac:dyDescent="0.3">
      <c r="A22" s="45" t="s">
        <v>108</v>
      </c>
      <c r="B22" s="46" t="s">
        <v>27</v>
      </c>
      <c r="C22" s="46" t="s">
        <v>79</v>
      </c>
      <c r="D22" s="46" t="s">
        <v>37</v>
      </c>
      <c r="E22" s="52" t="s">
        <v>1</v>
      </c>
      <c r="F22" s="48">
        <v>470.88900000000001</v>
      </c>
      <c r="G22" s="49">
        <v>2.1522260000000002</v>
      </c>
      <c r="H22" s="50">
        <v>19319</v>
      </c>
      <c r="I22" s="50">
        <v>33021</v>
      </c>
      <c r="J22" s="50">
        <v>364</v>
      </c>
      <c r="K22" s="50">
        <v>1</v>
      </c>
      <c r="L22" s="50">
        <v>1</v>
      </c>
      <c r="M22" s="50">
        <v>1</v>
      </c>
      <c r="N22" s="50">
        <v>1</v>
      </c>
      <c r="O22" s="50">
        <v>1</v>
      </c>
    </row>
    <row r="23" spans="1:15" ht="15.75" customHeight="1" x14ac:dyDescent="0.3">
      <c r="A23" s="51" t="s">
        <v>109</v>
      </c>
      <c r="B23" s="28" t="s">
        <v>28</v>
      </c>
      <c r="C23" s="28" t="s">
        <v>110</v>
      </c>
      <c r="D23" s="28" t="s">
        <v>34</v>
      </c>
      <c r="E23" s="41" t="s">
        <v>1</v>
      </c>
      <c r="F23" s="39">
        <v>473.221</v>
      </c>
      <c r="G23" s="38">
        <v>2.2307839999999999</v>
      </c>
      <c r="H23" s="29">
        <v>19931</v>
      </c>
      <c r="I23" s="29">
        <v>34375</v>
      </c>
      <c r="J23" s="29">
        <v>338</v>
      </c>
      <c r="K23" s="29">
        <v>1</v>
      </c>
      <c r="L23" s="29">
        <v>1</v>
      </c>
      <c r="M23" s="29">
        <v>1</v>
      </c>
      <c r="N23" s="29">
        <v>1</v>
      </c>
      <c r="O23" s="29">
        <v>1</v>
      </c>
    </row>
    <row r="24" spans="1:15" ht="15.75" customHeight="1" x14ac:dyDescent="0.3">
      <c r="A24" s="45" t="s">
        <v>111</v>
      </c>
      <c r="B24" s="46" t="s">
        <v>22</v>
      </c>
      <c r="C24" s="46" t="s">
        <v>100</v>
      </c>
      <c r="D24" s="46" t="s">
        <v>34</v>
      </c>
      <c r="E24" s="52" t="s">
        <v>1</v>
      </c>
      <c r="F24" s="48">
        <v>409.07499999999999</v>
      </c>
      <c r="G24" s="49">
        <v>2.2873589999999999</v>
      </c>
      <c r="H24" s="50">
        <v>10342</v>
      </c>
      <c r="I24" s="50">
        <v>28146</v>
      </c>
      <c r="J24" s="50">
        <v>425</v>
      </c>
      <c r="K24" s="50">
        <v>1</v>
      </c>
      <c r="L24" s="50">
        <v>0</v>
      </c>
      <c r="M24" s="50">
        <v>1</v>
      </c>
      <c r="N24" s="50">
        <v>1</v>
      </c>
      <c r="O24" s="50">
        <v>1</v>
      </c>
    </row>
    <row r="25" spans="1:15" ht="15.75" customHeight="1" x14ac:dyDescent="0.3">
      <c r="A25" s="51" t="s">
        <v>112</v>
      </c>
      <c r="B25" s="28" t="s">
        <v>26</v>
      </c>
      <c r="C25" s="28" t="s">
        <v>103</v>
      </c>
      <c r="D25" s="28" t="s">
        <v>36</v>
      </c>
      <c r="E25" s="42" t="s">
        <v>2</v>
      </c>
      <c r="F25" s="39">
        <v>927.49699999999996</v>
      </c>
      <c r="G25" s="38">
        <v>2.6599620000000002</v>
      </c>
      <c r="H25" s="29">
        <v>40140</v>
      </c>
      <c r="I25" s="29">
        <v>59874</v>
      </c>
      <c r="J25" s="29">
        <v>503</v>
      </c>
      <c r="K25" s="29">
        <v>0</v>
      </c>
      <c r="L25" s="29">
        <v>3</v>
      </c>
      <c r="M25" s="29">
        <v>1</v>
      </c>
      <c r="N25" s="29">
        <v>1</v>
      </c>
      <c r="O25" s="29">
        <v>1</v>
      </c>
    </row>
    <row r="26" spans="1:15" ht="15.75" customHeight="1" x14ac:dyDescent="0.3">
      <c r="A26" s="45" t="s">
        <v>113</v>
      </c>
      <c r="B26" s="46" t="s">
        <v>22</v>
      </c>
      <c r="C26" s="46" t="s">
        <v>100</v>
      </c>
      <c r="D26" s="46" t="s">
        <v>35</v>
      </c>
      <c r="E26" s="52" t="s">
        <v>1</v>
      </c>
      <c r="F26" s="48">
        <v>346.27499999999998</v>
      </c>
      <c r="G26" s="49">
        <v>2.0372910000000002</v>
      </c>
      <c r="H26" s="50">
        <v>10179</v>
      </c>
      <c r="I26" s="50">
        <v>24429</v>
      </c>
      <c r="J26" s="50">
        <v>350</v>
      </c>
      <c r="K26" s="50">
        <v>1</v>
      </c>
      <c r="L26" s="50">
        <v>0</v>
      </c>
      <c r="M26" s="50">
        <v>1</v>
      </c>
      <c r="N26" s="50">
        <v>1</v>
      </c>
      <c r="O26" s="50">
        <v>1</v>
      </c>
    </row>
    <row r="27" spans="1:15" ht="15.75" customHeight="1" x14ac:dyDescent="0.3">
      <c r="A27" s="51" t="s">
        <v>114</v>
      </c>
      <c r="B27" s="28" t="s">
        <v>22</v>
      </c>
      <c r="C27" s="28" t="s">
        <v>80</v>
      </c>
      <c r="D27" s="28" t="s">
        <v>35</v>
      </c>
      <c r="E27" s="53" t="s">
        <v>20</v>
      </c>
      <c r="F27" s="39">
        <v>384.73200000000003</v>
      </c>
      <c r="G27" s="38">
        <v>1.5372870000000001</v>
      </c>
      <c r="H27" s="29">
        <v>10006</v>
      </c>
      <c r="I27" s="29">
        <v>17994</v>
      </c>
      <c r="J27" s="29">
        <v>263</v>
      </c>
      <c r="K27" s="29">
        <v>0</v>
      </c>
      <c r="L27" s="29">
        <v>0</v>
      </c>
      <c r="M27" s="29">
        <v>1</v>
      </c>
      <c r="N27" s="29">
        <v>1</v>
      </c>
      <c r="O27" s="29">
        <v>1</v>
      </c>
    </row>
    <row r="28" spans="1:15" ht="15.75" customHeight="1" x14ac:dyDescent="0.3">
      <c r="A28" s="45" t="s">
        <v>115</v>
      </c>
      <c r="B28" s="46" t="s">
        <v>26</v>
      </c>
      <c r="C28" s="46" t="s">
        <v>103</v>
      </c>
      <c r="D28" s="46" t="s">
        <v>35</v>
      </c>
      <c r="E28" s="52" t="s">
        <v>1</v>
      </c>
      <c r="F28" s="48">
        <v>429.06299999999999</v>
      </c>
      <c r="G28" s="49">
        <v>1.70444</v>
      </c>
      <c r="H28" s="50">
        <v>20496</v>
      </c>
      <c r="I28" s="50">
        <v>27842</v>
      </c>
      <c r="J28" s="50">
        <v>196</v>
      </c>
      <c r="K28" s="50">
        <v>1</v>
      </c>
      <c r="L28" s="50">
        <v>1</v>
      </c>
      <c r="M28" s="50">
        <v>1</v>
      </c>
      <c r="N28" s="50">
        <v>1</v>
      </c>
      <c r="O28" s="50">
        <v>1</v>
      </c>
    </row>
    <row r="29" spans="1:15" ht="15.75" customHeight="1" x14ac:dyDescent="0.3">
      <c r="A29" s="51" t="s">
        <v>116</v>
      </c>
      <c r="B29" s="28" t="s">
        <v>22</v>
      </c>
      <c r="C29" s="28" t="s">
        <v>117</v>
      </c>
      <c r="D29" s="28" t="s">
        <v>35</v>
      </c>
      <c r="E29" s="41" t="s">
        <v>1</v>
      </c>
      <c r="F29" s="39">
        <v>501.26100000000002</v>
      </c>
      <c r="G29" s="38">
        <v>2.570894</v>
      </c>
      <c r="H29" s="29">
        <v>17712</v>
      </c>
      <c r="I29" s="29">
        <v>37584</v>
      </c>
      <c r="J29" s="29">
        <v>509</v>
      </c>
      <c r="K29" s="29">
        <v>1</v>
      </c>
      <c r="L29" s="29">
        <v>1</v>
      </c>
      <c r="M29" s="29">
        <v>1</v>
      </c>
      <c r="N29" s="29">
        <v>1</v>
      </c>
      <c r="O29" s="29">
        <v>1</v>
      </c>
    </row>
    <row r="30" spans="1:15" ht="15.75" customHeight="1" x14ac:dyDescent="0.3">
      <c r="A30" s="45" t="s">
        <v>118</v>
      </c>
      <c r="B30" s="46" t="s">
        <v>25</v>
      </c>
      <c r="C30" s="46" t="s">
        <v>119</v>
      </c>
      <c r="D30" s="46" t="s">
        <v>37</v>
      </c>
      <c r="E30" s="52" t="s">
        <v>1</v>
      </c>
      <c r="F30" s="48">
        <v>541.48400000000004</v>
      </c>
      <c r="G30" s="49">
        <v>2.014084</v>
      </c>
      <c r="H30" s="50">
        <v>30927</v>
      </c>
      <c r="I30" s="50">
        <v>39874</v>
      </c>
      <c r="J30" s="50">
        <v>244</v>
      </c>
      <c r="K30" s="50">
        <v>1</v>
      </c>
      <c r="L30" s="50">
        <v>2</v>
      </c>
      <c r="M30" s="50">
        <v>1</v>
      </c>
      <c r="N30" s="50">
        <v>1</v>
      </c>
      <c r="O30" s="50">
        <v>1</v>
      </c>
    </row>
    <row r="31" spans="1:15" ht="15.75" customHeight="1" x14ac:dyDescent="0.3">
      <c r="A31" s="51" t="s">
        <v>120</v>
      </c>
      <c r="B31" s="28" t="s">
        <v>22</v>
      </c>
      <c r="C31" s="28" t="s">
        <v>80</v>
      </c>
      <c r="D31" s="28" t="s">
        <v>37</v>
      </c>
      <c r="E31" s="41" t="s">
        <v>1</v>
      </c>
      <c r="F31" s="39">
        <v>438.83</v>
      </c>
      <c r="G31" s="38">
        <v>2.3450039999999999</v>
      </c>
      <c r="H31" s="29">
        <v>10313</v>
      </c>
      <c r="I31" s="29">
        <v>28974</v>
      </c>
      <c r="J31" s="29">
        <v>456</v>
      </c>
      <c r="K31" s="29">
        <v>1</v>
      </c>
      <c r="L31" s="29">
        <v>0</v>
      </c>
      <c r="M31" s="29">
        <v>1</v>
      </c>
      <c r="N31" s="29">
        <v>1</v>
      </c>
      <c r="O31" s="29">
        <v>1</v>
      </c>
    </row>
    <row r="32" spans="1:15" ht="15.75" customHeight="1" x14ac:dyDescent="0.3">
      <c r="A32" s="45" t="s">
        <v>121</v>
      </c>
      <c r="B32" s="46" t="s">
        <v>22</v>
      </c>
      <c r="C32" s="46" t="s">
        <v>84</v>
      </c>
      <c r="D32" s="46" t="s">
        <v>35</v>
      </c>
      <c r="E32" s="52" t="s">
        <v>1</v>
      </c>
      <c r="F32" s="48">
        <v>436.43599999999998</v>
      </c>
      <c r="G32" s="49">
        <v>2.1527769999999999</v>
      </c>
      <c r="H32" s="50">
        <v>18165</v>
      </c>
      <c r="I32" s="50">
        <v>30568</v>
      </c>
      <c r="J32" s="50">
        <v>384</v>
      </c>
      <c r="K32" s="50">
        <v>1</v>
      </c>
      <c r="L32" s="50">
        <v>1</v>
      </c>
      <c r="M32" s="50">
        <v>1</v>
      </c>
      <c r="N32" s="50">
        <v>1</v>
      </c>
      <c r="O32" s="50">
        <v>1</v>
      </c>
    </row>
    <row r="33" spans="1:15" ht="15.75" customHeight="1" x14ac:dyDescent="0.3">
      <c r="A33" s="51" t="s">
        <v>122</v>
      </c>
      <c r="B33" s="28" t="s">
        <v>27</v>
      </c>
      <c r="C33" s="28" t="s">
        <v>123</v>
      </c>
      <c r="D33" s="28" t="s">
        <v>36</v>
      </c>
      <c r="E33" s="41" t="s">
        <v>1</v>
      </c>
      <c r="F33" s="39">
        <v>299.19600000000003</v>
      </c>
      <c r="G33" s="38">
        <v>1.6997519999999999</v>
      </c>
      <c r="H33" s="29">
        <v>10378</v>
      </c>
      <c r="I33" s="29">
        <v>20045</v>
      </c>
      <c r="J33" s="29">
        <v>250</v>
      </c>
      <c r="K33" s="29">
        <v>1</v>
      </c>
      <c r="L33" s="29">
        <v>0</v>
      </c>
      <c r="M33" s="29">
        <v>1</v>
      </c>
      <c r="N33" s="29">
        <v>1</v>
      </c>
      <c r="O33" s="29">
        <v>1</v>
      </c>
    </row>
    <row r="34" spans="1:15" ht="15.75" customHeight="1" x14ac:dyDescent="0.3">
      <c r="A34" s="45" t="s">
        <v>124</v>
      </c>
      <c r="B34" s="46" t="s">
        <v>28</v>
      </c>
      <c r="C34" s="46" t="s">
        <v>125</v>
      </c>
      <c r="D34" s="46" t="s">
        <v>37</v>
      </c>
      <c r="E34" s="52" t="s">
        <v>1</v>
      </c>
      <c r="F34" s="48">
        <v>787.89800000000002</v>
      </c>
      <c r="G34" s="49">
        <v>2.4884200000000001</v>
      </c>
      <c r="H34" s="50">
        <v>35016</v>
      </c>
      <c r="I34" s="50">
        <v>48629</v>
      </c>
      <c r="J34" s="50">
        <v>348</v>
      </c>
      <c r="K34" s="50">
        <v>1</v>
      </c>
      <c r="L34" s="50">
        <v>2</v>
      </c>
      <c r="M34" s="50">
        <v>1</v>
      </c>
      <c r="N34" s="50">
        <v>1</v>
      </c>
      <c r="O34" s="50">
        <v>1</v>
      </c>
    </row>
    <row r="35" spans="1:15" ht="15.75" customHeight="1" x14ac:dyDescent="0.3">
      <c r="A35" s="51" t="s">
        <v>66</v>
      </c>
      <c r="B35" s="28" t="s">
        <v>23</v>
      </c>
      <c r="C35" s="28" t="s">
        <v>126</v>
      </c>
      <c r="D35" s="28" t="s">
        <v>34</v>
      </c>
      <c r="E35" s="41" t="s">
        <v>1</v>
      </c>
      <c r="F35" s="39">
        <v>638.524</v>
      </c>
      <c r="G35" s="38">
        <v>2.942348</v>
      </c>
      <c r="H35" s="29">
        <v>21939</v>
      </c>
      <c r="I35" s="29">
        <v>46727</v>
      </c>
      <c r="J35" s="29">
        <v>550</v>
      </c>
      <c r="K35" s="29">
        <v>1</v>
      </c>
      <c r="L35" s="29">
        <v>1</v>
      </c>
      <c r="M35" s="29">
        <v>1</v>
      </c>
      <c r="N35" s="29">
        <v>1</v>
      </c>
      <c r="O35" s="29">
        <v>1</v>
      </c>
    </row>
    <row r="36" spans="1:15" ht="15.75" customHeight="1" x14ac:dyDescent="0.3">
      <c r="A36" s="45" t="s">
        <v>127</v>
      </c>
      <c r="B36" s="46" t="s">
        <v>25</v>
      </c>
      <c r="C36" s="46" t="s">
        <v>119</v>
      </c>
      <c r="D36" s="46" t="s">
        <v>34</v>
      </c>
      <c r="E36" s="52" t="s">
        <v>1</v>
      </c>
      <c r="F36" s="48">
        <v>860.39499999999998</v>
      </c>
      <c r="G36" s="49">
        <v>2.668183</v>
      </c>
      <c r="H36" s="50">
        <v>32429</v>
      </c>
      <c r="I36" s="50">
        <v>49585</v>
      </c>
      <c r="J36" s="50">
        <v>431</v>
      </c>
      <c r="K36" s="50">
        <v>1</v>
      </c>
      <c r="L36" s="50">
        <v>2</v>
      </c>
      <c r="M36" s="50">
        <v>1</v>
      </c>
      <c r="N36" s="50">
        <v>1</v>
      </c>
      <c r="O36" s="50">
        <v>1</v>
      </c>
    </row>
    <row r="37" spans="1:15" ht="15.75" customHeight="1" x14ac:dyDescent="0.3">
      <c r="A37" s="51" t="s">
        <v>128</v>
      </c>
      <c r="B37" s="28" t="s">
        <v>27</v>
      </c>
      <c r="C37" s="28" t="s">
        <v>123</v>
      </c>
      <c r="D37" s="28" t="s">
        <v>36</v>
      </c>
      <c r="E37" s="41" t="s">
        <v>1</v>
      </c>
      <c r="F37" s="39">
        <v>377.26499999999999</v>
      </c>
      <c r="G37" s="38">
        <v>2.2048199999999998</v>
      </c>
      <c r="H37" s="29">
        <v>10484</v>
      </c>
      <c r="I37" s="29">
        <v>26835</v>
      </c>
      <c r="J37" s="29">
        <v>397</v>
      </c>
      <c r="K37" s="29">
        <v>1</v>
      </c>
      <c r="L37" s="29">
        <v>0</v>
      </c>
      <c r="M37" s="29">
        <v>1</v>
      </c>
      <c r="N37" s="29">
        <v>1</v>
      </c>
      <c r="O37" s="29">
        <v>1</v>
      </c>
    </row>
    <row r="38" spans="1:15" ht="15.75" customHeight="1" x14ac:dyDescent="0.3">
      <c r="A38" s="45" t="s">
        <v>65</v>
      </c>
      <c r="B38" s="46" t="s">
        <v>29</v>
      </c>
      <c r="C38" s="46" t="s">
        <v>92</v>
      </c>
      <c r="D38" s="46" t="s">
        <v>34</v>
      </c>
      <c r="E38" s="52" t="s">
        <v>1</v>
      </c>
      <c r="F38" s="48">
        <v>609.255</v>
      </c>
      <c r="G38" s="49">
        <v>3.0824639999999999</v>
      </c>
      <c r="H38" s="50">
        <v>25581</v>
      </c>
      <c r="I38" s="50">
        <v>38127</v>
      </c>
      <c r="J38" s="50">
        <v>378</v>
      </c>
      <c r="K38" s="50">
        <v>1</v>
      </c>
      <c r="L38" s="50">
        <v>2</v>
      </c>
      <c r="M38" s="50">
        <v>1</v>
      </c>
      <c r="N38" s="50">
        <v>1</v>
      </c>
      <c r="O38" s="50">
        <v>1</v>
      </c>
    </row>
    <row r="39" spans="1:15" ht="15.75" customHeight="1" x14ac:dyDescent="0.3">
      <c r="A39" s="51" t="s">
        <v>129</v>
      </c>
      <c r="B39" s="28" t="s">
        <v>29</v>
      </c>
      <c r="C39" s="28" t="s">
        <v>94</v>
      </c>
      <c r="D39" s="28" t="s">
        <v>34</v>
      </c>
      <c r="E39" s="41" t="s">
        <v>1</v>
      </c>
      <c r="F39" s="39">
        <v>470.37299999999999</v>
      </c>
      <c r="G39" s="38">
        <v>1.821839</v>
      </c>
      <c r="H39" s="29">
        <v>18684</v>
      </c>
      <c r="I39" s="29">
        <v>28283</v>
      </c>
      <c r="J39" s="29">
        <v>291</v>
      </c>
      <c r="K39" s="29">
        <v>1</v>
      </c>
      <c r="L39" s="29">
        <v>1</v>
      </c>
      <c r="M39" s="29">
        <v>1</v>
      </c>
      <c r="N39" s="29">
        <v>1</v>
      </c>
      <c r="O39" s="29">
        <v>1</v>
      </c>
    </row>
    <row r="40" spans="1:15" ht="15.75" customHeight="1" x14ac:dyDescent="0.3">
      <c r="A40" s="45" t="s">
        <v>130</v>
      </c>
      <c r="B40" s="46" t="s">
        <v>28</v>
      </c>
      <c r="C40" s="46" t="s">
        <v>125</v>
      </c>
      <c r="D40" s="46" t="s">
        <v>36</v>
      </c>
      <c r="E40" s="52" t="s">
        <v>1</v>
      </c>
      <c r="F40" s="48">
        <v>376.38299999999998</v>
      </c>
      <c r="G40" s="49">
        <v>1.7664569999999999</v>
      </c>
      <c r="H40" s="50">
        <v>10444</v>
      </c>
      <c r="I40" s="50">
        <v>21034</v>
      </c>
      <c r="J40" s="50">
        <v>338</v>
      </c>
      <c r="K40" s="50">
        <v>1</v>
      </c>
      <c r="L40" s="50">
        <v>0</v>
      </c>
      <c r="M40" s="50">
        <v>1</v>
      </c>
      <c r="N40" s="50">
        <v>1</v>
      </c>
      <c r="O40" s="50">
        <v>1</v>
      </c>
    </row>
    <row r="41" spans="1:15" ht="15.75" customHeight="1" x14ac:dyDescent="0.3">
      <c r="A41" s="51" t="s">
        <v>131</v>
      </c>
      <c r="B41" s="28" t="s">
        <v>24</v>
      </c>
      <c r="C41" s="28" t="s">
        <v>132</v>
      </c>
      <c r="D41" s="28" t="s">
        <v>37</v>
      </c>
      <c r="E41" s="41" t="s">
        <v>1</v>
      </c>
      <c r="F41" s="39">
        <v>763.86800000000005</v>
      </c>
      <c r="G41" s="38">
        <v>2.611291</v>
      </c>
      <c r="H41" s="29">
        <v>30365</v>
      </c>
      <c r="I41" s="29">
        <v>51457</v>
      </c>
      <c r="J41" s="29">
        <v>517</v>
      </c>
      <c r="K41" s="29">
        <v>1</v>
      </c>
      <c r="L41" s="29">
        <v>2</v>
      </c>
      <c r="M41" s="29">
        <v>1</v>
      </c>
      <c r="N41" s="29">
        <v>1</v>
      </c>
      <c r="O41" s="29">
        <v>1</v>
      </c>
    </row>
    <row r="42" spans="1:15" ht="15.75" customHeight="1" x14ac:dyDescent="0.3">
      <c r="A42" s="45" t="s">
        <v>133</v>
      </c>
      <c r="B42" s="46" t="s">
        <v>26</v>
      </c>
      <c r="C42" s="46" t="s">
        <v>134</v>
      </c>
      <c r="D42" s="46" t="s">
        <v>35</v>
      </c>
      <c r="E42" s="52" t="s">
        <v>1</v>
      </c>
      <c r="F42" s="48">
        <v>244.55699999999999</v>
      </c>
      <c r="G42" s="49">
        <v>1.451748</v>
      </c>
      <c r="H42" s="50">
        <v>10163</v>
      </c>
      <c r="I42" s="50">
        <v>16816</v>
      </c>
      <c r="J42" s="50">
        <v>292</v>
      </c>
      <c r="K42" s="50">
        <v>1</v>
      </c>
      <c r="L42" s="50">
        <v>0</v>
      </c>
      <c r="M42" s="50">
        <v>1</v>
      </c>
      <c r="N42" s="50">
        <v>1</v>
      </c>
      <c r="O42" s="50">
        <v>1</v>
      </c>
    </row>
    <row r="43" spans="1:15" ht="15.75" customHeight="1" x14ac:dyDescent="0.3">
      <c r="A43" s="51" t="s">
        <v>68</v>
      </c>
      <c r="B43" s="28" t="s">
        <v>28</v>
      </c>
      <c r="C43" s="28" t="s">
        <v>110</v>
      </c>
      <c r="D43" s="28" t="s">
        <v>35</v>
      </c>
      <c r="E43" s="41" t="s">
        <v>1</v>
      </c>
      <c r="F43" s="39">
        <v>621.60400000000004</v>
      </c>
      <c r="G43" s="38">
        <v>2.794918</v>
      </c>
      <c r="H43" s="29">
        <v>22598</v>
      </c>
      <c r="I43" s="29">
        <v>42886</v>
      </c>
      <c r="J43" s="29">
        <v>490</v>
      </c>
      <c r="K43" s="29">
        <v>1</v>
      </c>
      <c r="L43" s="29">
        <v>1</v>
      </c>
      <c r="M43" s="29">
        <v>1</v>
      </c>
      <c r="N43" s="29">
        <v>1</v>
      </c>
      <c r="O43" s="29">
        <v>1</v>
      </c>
    </row>
    <row r="44" spans="1:15" ht="15.75" customHeight="1" x14ac:dyDescent="0.3">
      <c r="A44" s="45" t="s">
        <v>135</v>
      </c>
      <c r="B44" s="46" t="s">
        <v>30</v>
      </c>
      <c r="C44" s="46" t="s">
        <v>136</v>
      </c>
      <c r="D44" s="46" t="s">
        <v>35</v>
      </c>
      <c r="E44" s="54" t="s">
        <v>2</v>
      </c>
      <c r="F44" s="48">
        <v>784.65599999999995</v>
      </c>
      <c r="G44" s="49">
        <v>2.469049</v>
      </c>
      <c r="H44" s="50">
        <v>41920</v>
      </c>
      <c r="I44" s="50">
        <v>53608</v>
      </c>
      <c r="J44" s="50">
        <v>319</v>
      </c>
      <c r="K44" s="50">
        <v>0</v>
      </c>
      <c r="L44" s="50">
        <v>2</v>
      </c>
      <c r="M44" s="50">
        <v>1</v>
      </c>
      <c r="N44" s="50">
        <v>1</v>
      </c>
      <c r="O44" s="50">
        <v>1</v>
      </c>
    </row>
    <row r="45" spans="1:15" ht="15.75" customHeight="1" x14ac:dyDescent="0.3">
      <c r="A45" s="51" t="s">
        <v>137</v>
      </c>
      <c r="B45" s="28" t="s">
        <v>23</v>
      </c>
      <c r="C45" s="28" t="s">
        <v>138</v>
      </c>
      <c r="D45" s="28" t="s">
        <v>35</v>
      </c>
      <c r="E45" s="41" t="s">
        <v>1</v>
      </c>
      <c r="F45" s="39">
        <v>382.08499999999998</v>
      </c>
      <c r="G45" s="38">
        <v>1.648307</v>
      </c>
      <c r="H45" s="29">
        <v>17366</v>
      </c>
      <c r="I45" s="29">
        <v>24249</v>
      </c>
      <c r="J45" s="29">
        <v>281</v>
      </c>
      <c r="K45" s="29">
        <v>1</v>
      </c>
      <c r="L45" s="29">
        <v>1</v>
      </c>
      <c r="M45" s="29">
        <v>1</v>
      </c>
      <c r="N45" s="29">
        <v>1</v>
      </c>
      <c r="O45" s="29">
        <v>1</v>
      </c>
    </row>
    <row r="46" spans="1:15" ht="15.75" customHeight="1" x14ac:dyDescent="0.3">
      <c r="A46" s="45" t="s">
        <v>139</v>
      </c>
      <c r="B46" s="46" t="s">
        <v>28</v>
      </c>
      <c r="C46" s="46" t="s">
        <v>86</v>
      </c>
      <c r="D46" s="46" t="s">
        <v>37</v>
      </c>
      <c r="E46" s="54" t="s">
        <v>2</v>
      </c>
      <c r="F46" s="48">
        <v>864.76800000000003</v>
      </c>
      <c r="G46" s="49">
        <v>2.4361480000000002</v>
      </c>
      <c r="H46" s="50">
        <v>32658</v>
      </c>
      <c r="I46" s="50">
        <v>52435</v>
      </c>
      <c r="J46" s="50">
        <v>562</v>
      </c>
      <c r="K46" s="50">
        <v>0</v>
      </c>
      <c r="L46" s="50">
        <v>2</v>
      </c>
      <c r="M46" s="50">
        <v>1</v>
      </c>
      <c r="N46" s="50">
        <v>1</v>
      </c>
      <c r="O46" s="50">
        <v>1</v>
      </c>
    </row>
    <row r="47" spans="1:15" ht="15.75" customHeight="1" x14ac:dyDescent="0.3">
      <c r="A47" s="51" t="s">
        <v>140</v>
      </c>
      <c r="B47" s="28" t="s">
        <v>29</v>
      </c>
      <c r="C47" s="28" t="s">
        <v>94</v>
      </c>
      <c r="D47" s="28" t="s">
        <v>37</v>
      </c>
      <c r="E47" s="42" t="s">
        <v>2</v>
      </c>
      <c r="F47" s="39">
        <v>690.18200000000002</v>
      </c>
      <c r="G47" s="38">
        <v>1.9785820000000001</v>
      </c>
      <c r="H47" s="29">
        <v>33895</v>
      </c>
      <c r="I47" s="29">
        <v>42336</v>
      </c>
      <c r="J47" s="29">
        <v>282</v>
      </c>
      <c r="K47" s="29">
        <v>0</v>
      </c>
      <c r="L47" s="29">
        <v>2</v>
      </c>
      <c r="M47" s="29">
        <v>1</v>
      </c>
      <c r="N47" s="29">
        <v>1</v>
      </c>
      <c r="O47" s="29">
        <v>1</v>
      </c>
    </row>
    <row r="48" spans="1:15" ht="15.75" customHeight="1" x14ac:dyDescent="0.3">
      <c r="A48" s="45" t="s">
        <v>141</v>
      </c>
      <c r="B48" s="46" t="s">
        <v>24</v>
      </c>
      <c r="C48" s="46" t="s">
        <v>88</v>
      </c>
      <c r="D48" s="46" t="s">
        <v>34</v>
      </c>
      <c r="E48" s="52" t="s">
        <v>1</v>
      </c>
      <c r="F48" s="48">
        <v>423.69600000000003</v>
      </c>
      <c r="G48" s="49">
        <v>2.25501</v>
      </c>
      <c r="H48" s="50">
        <v>10492</v>
      </c>
      <c r="I48" s="50">
        <v>27881</v>
      </c>
      <c r="J48" s="50">
        <v>482</v>
      </c>
      <c r="K48" s="50">
        <v>1</v>
      </c>
      <c r="L48" s="50">
        <v>0</v>
      </c>
      <c r="M48" s="50">
        <v>1</v>
      </c>
      <c r="N48" s="50">
        <v>1</v>
      </c>
      <c r="O48" s="50">
        <v>1</v>
      </c>
    </row>
    <row r="49" spans="1:15" ht="15.75" customHeight="1" x14ac:dyDescent="0.3">
      <c r="A49" s="51" t="s">
        <v>142</v>
      </c>
      <c r="B49" s="28" t="s">
        <v>29</v>
      </c>
      <c r="C49" s="28" t="s">
        <v>94</v>
      </c>
      <c r="D49" s="28" t="s">
        <v>35</v>
      </c>
      <c r="E49" s="41" t="s">
        <v>1</v>
      </c>
      <c r="F49" s="39">
        <v>287.11599999999999</v>
      </c>
      <c r="G49" s="38">
        <v>1.7033849999999999</v>
      </c>
      <c r="H49" s="29">
        <v>10662</v>
      </c>
      <c r="I49" s="29">
        <v>20196</v>
      </c>
      <c r="J49" s="29">
        <v>195</v>
      </c>
      <c r="K49" s="29">
        <v>1</v>
      </c>
      <c r="L49" s="29">
        <v>0</v>
      </c>
      <c r="M49" s="29">
        <v>1</v>
      </c>
      <c r="N49" s="29">
        <v>1</v>
      </c>
      <c r="O49" s="29">
        <v>1</v>
      </c>
    </row>
    <row r="50" spans="1:15" ht="15.75" customHeight="1" x14ac:dyDescent="0.3">
      <c r="A50" s="45" t="s">
        <v>143</v>
      </c>
      <c r="B50" s="46" t="s">
        <v>28</v>
      </c>
      <c r="C50" s="46" t="s">
        <v>86</v>
      </c>
      <c r="D50" s="46" t="s">
        <v>36</v>
      </c>
      <c r="E50" s="52" t="s">
        <v>1</v>
      </c>
      <c r="F50" s="48">
        <v>387.61900000000003</v>
      </c>
      <c r="G50" s="49">
        <v>1.464626</v>
      </c>
      <c r="H50" s="50">
        <v>18235</v>
      </c>
      <c r="I50" s="50">
        <v>22125</v>
      </c>
      <c r="J50" s="50">
        <v>250</v>
      </c>
      <c r="K50" s="50">
        <v>1</v>
      </c>
      <c r="L50" s="50">
        <v>1</v>
      </c>
      <c r="M50" s="50">
        <v>1</v>
      </c>
      <c r="N50" s="50">
        <v>1</v>
      </c>
      <c r="O50" s="50">
        <v>1</v>
      </c>
    </row>
    <row r="51" spans="1:15" ht="15.75" customHeight="1" x14ac:dyDescent="0.3">
      <c r="A51" s="51" t="s">
        <v>62</v>
      </c>
      <c r="B51" s="28" t="s">
        <v>30</v>
      </c>
      <c r="C51" s="28" t="s">
        <v>136</v>
      </c>
      <c r="D51" s="28" t="s">
        <v>35</v>
      </c>
      <c r="E51" s="42" t="s">
        <v>2</v>
      </c>
      <c r="F51" s="39">
        <v>758.66800000000001</v>
      </c>
      <c r="G51" s="38">
        <v>3.172056</v>
      </c>
      <c r="H51" s="29">
        <v>34505</v>
      </c>
      <c r="I51" s="29">
        <v>49759</v>
      </c>
      <c r="J51" s="29">
        <v>455</v>
      </c>
      <c r="K51" s="29">
        <v>0</v>
      </c>
      <c r="L51" s="29">
        <v>2</v>
      </c>
      <c r="M51" s="29">
        <v>1</v>
      </c>
      <c r="N51" s="29">
        <v>1</v>
      </c>
      <c r="O51" s="29">
        <v>1</v>
      </c>
    </row>
    <row r="52" spans="1:15" ht="15.75" customHeight="1" x14ac:dyDescent="0.3">
      <c r="A52" s="45" t="s">
        <v>144</v>
      </c>
      <c r="B52" s="46" t="s">
        <v>29</v>
      </c>
      <c r="C52" s="46" t="s">
        <v>92</v>
      </c>
      <c r="D52" s="46" t="s">
        <v>35</v>
      </c>
      <c r="E52" s="52" t="s">
        <v>1</v>
      </c>
      <c r="F52" s="48">
        <v>281.93599999999998</v>
      </c>
      <c r="G52" s="49">
        <v>1.6632750000000001</v>
      </c>
      <c r="H52" s="50">
        <v>10637</v>
      </c>
      <c r="I52" s="50">
        <v>19715</v>
      </c>
      <c r="J52" s="50">
        <v>326</v>
      </c>
      <c r="K52" s="50">
        <v>1</v>
      </c>
      <c r="L52" s="50">
        <v>0</v>
      </c>
      <c r="M52" s="50">
        <v>1</v>
      </c>
      <c r="N52" s="50">
        <v>1</v>
      </c>
      <c r="O52" s="50">
        <v>1</v>
      </c>
    </row>
    <row r="53" spans="1:15" ht="15.75" customHeight="1" x14ac:dyDescent="0.3">
      <c r="A53" s="51" t="s">
        <v>145</v>
      </c>
      <c r="B53" s="28" t="s">
        <v>30</v>
      </c>
      <c r="C53" s="28" t="s">
        <v>136</v>
      </c>
      <c r="D53" s="28" t="s">
        <v>36</v>
      </c>
      <c r="E53" s="41" t="s">
        <v>1</v>
      </c>
      <c r="F53" s="39">
        <v>321.77199999999999</v>
      </c>
      <c r="G53" s="38">
        <v>1.9022790000000001</v>
      </c>
      <c r="H53" s="29">
        <v>11137</v>
      </c>
      <c r="I53" s="29">
        <v>23059</v>
      </c>
      <c r="J53" s="29">
        <v>272</v>
      </c>
      <c r="K53" s="29">
        <v>1</v>
      </c>
      <c r="L53" s="29">
        <v>0</v>
      </c>
      <c r="M53" s="29">
        <v>1</v>
      </c>
      <c r="N53" s="29">
        <v>1</v>
      </c>
      <c r="O53" s="29">
        <v>1</v>
      </c>
    </row>
    <row r="54" spans="1:15" ht="15.75" customHeight="1" x14ac:dyDescent="0.3">
      <c r="A54" s="45" t="s">
        <v>146</v>
      </c>
      <c r="B54" s="46" t="s">
        <v>30</v>
      </c>
      <c r="C54" s="46" t="s">
        <v>136</v>
      </c>
      <c r="D54" s="46" t="s">
        <v>37</v>
      </c>
      <c r="E54" s="52" t="s">
        <v>1</v>
      </c>
      <c r="F54" s="48">
        <v>476.79199999999997</v>
      </c>
      <c r="G54" s="49">
        <v>2.2745479999999998</v>
      </c>
      <c r="H54" s="50">
        <v>17001</v>
      </c>
      <c r="I54" s="50">
        <v>32669</v>
      </c>
      <c r="J54" s="50">
        <v>437</v>
      </c>
      <c r="K54" s="50">
        <v>1</v>
      </c>
      <c r="L54" s="50">
        <v>1</v>
      </c>
      <c r="M54" s="50">
        <v>1</v>
      </c>
      <c r="N54" s="50">
        <v>1</v>
      </c>
      <c r="O54" s="50">
        <v>1</v>
      </c>
    </row>
    <row r="55" spans="1:15" ht="15.75" customHeight="1" x14ac:dyDescent="0.3">
      <c r="A55" s="51" t="s">
        <v>147</v>
      </c>
      <c r="B55" s="28" t="s">
        <v>29</v>
      </c>
      <c r="C55" s="28" t="s">
        <v>148</v>
      </c>
      <c r="D55" s="28" t="s">
        <v>37</v>
      </c>
      <c r="E55" s="41" t="s">
        <v>1</v>
      </c>
      <c r="F55" s="39">
        <v>660.05399999999997</v>
      </c>
      <c r="G55" s="38">
        <v>2.260732</v>
      </c>
      <c r="H55" s="29">
        <v>33278</v>
      </c>
      <c r="I55" s="29">
        <v>45055</v>
      </c>
      <c r="J55" s="29">
        <v>335</v>
      </c>
      <c r="K55" s="29">
        <v>1</v>
      </c>
      <c r="L55" s="29">
        <v>2</v>
      </c>
      <c r="M55" s="29">
        <v>1</v>
      </c>
      <c r="N55" s="29">
        <v>1</v>
      </c>
      <c r="O55" s="29">
        <v>1</v>
      </c>
    </row>
    <row r="56" spans="1:15" ht="15.75" customHeight="1" x14ac:dyDescent="0.3">
      <c r="A56" s="45" t="s">
        <v>149</v>
      </c>
      <c r="B56" s="46" t="s">
        <v>28</v>
      </c>
      <c r="C56" s="46" t="s">
        <v>86</v>
      </c>
      <c r="D56" s="46" t="s">
        <v>35</v>
      </c>
      <c r="E56" s="52" t="s">
        <v>1</v>
      </c>
      <c r="F56" s="48">
        <v>292.67500000000001</v>
      </c>
      <c r="G56" s="49">
        <v>1.640619</v>
      </c>
      <c r="H56" s="50">
        <v>10958</v>
      </c>
      <c r="I56" s="50">
        <v>19394</v>
      </c>
      <c r="J56" s="50">
        <v>232</v>
      </c>
      <c r="K56" s="50">
        <v>1</v>
      </c>
      <c r="L56" s="50">
        <v>0</v>
      </c>
      <c r="M56" s="50">
        <v>1</v>
      </c>
      <c r="N56" s="50">
        <v>1</v>
      </c>
      <c r="O56" s="50">
        <v>1</v>
      </c>
    </row>
    <row r="57" spans="1:15" ht="15.75" customHeight="1" x14ac:dyDescent="0.3">
      <c r="A57" s="51" t="s">
        <v>150</v>
      </c>
      <c r="B57" s="28" t="s">
        <v>27</v>
      </c>
      <c r="C57" s="28" t="s">
        <v>151</v>
      </c>
      <c r="D57" s="28" t="s">
        <v>36</v>
      </c>
      <c r="E57" s="41" t="s">
        <v>1</v>
      </c>
      <c r="F57" s="39">
        <v>489.52199999999999</v>
      </c>
      <c r="G57" s="38">
        <v>1.6323970000000001</v>
      </c>
      <c r="H57" s="29">
        <v>30458</v>
      </c>
      <c r="I57" s="29">
        <v>33498</v>
      </c>
      <c r="J57" s="29">
        <v>145</v>
      </c>
      <c r="K57" s="29">
        <v>1</v>
      </c>
      <c r="L57" s="29">
        <v>2</v>
      </c>
      <c r="M57" s="29">
        <v>1</v>
      </c>
      <c r="N57" s="29">
        <v>1</v>
      </c>
      <c r="O57" s="29">
        <v>1</v>
      </c>
    </row>
    <row r="58" spans="1:15" ht="15.75" customHeight="1" x14ac:dyDescent="0.3">
      <c r="A58" s="45" t="s">
        <v>152</v>
      </c>
      <c r="B58" s="46" t="s">
        <v>25</v>
      </c>
      <c r="C58" s="46" t="s">
        <v>77</v>
      </c>
      <c r="D58" s="46" t="s">
        <v>37</v>
      </c>
      <c r="E58" s="52" t="s">
        <v>1</v>
      </c>
      <c r="F58" s="48">
        <v>657.31799999999998</v>
      </c>
      <c r="G58" s="49">
        <v>2.685352</v>
      </c>
      <c r="H58" s="50">
        <v>25027</v>
      </c>
      <c r="I58" s="50">
        <v>44086</v>
      </c>
      <c r="J58" s="50">
        <v>544</v>
      </c>
      <c r="K58" s="50">
        <v>1</v>
      </c>
      <c r="L58" s="50">
        <v>2</v>
      </c>
      <c r="M58" s="50">
        <v>1</v>
      </c>
      <c r="N58" s="50">
        <v>1</v>
      </c>
      <c r="O58" s="50">
        <v>1</v>
      </c>
    </row>
    <row r="59" spans="1:15" ht="15.75" customHeight="1" x14ac:dyDescent="0.3">
      <c r="A59" s="51" t="s">
        <v>153</v>
      </c>
      <c r="B59" s="28" t="s">
        <v>29</v>
      </c>
      <c r="C59" s="28" t="s">
        <v>94</v>
      </c>
      <c r="D59" s="28" t="s">
        <v>37</v>
      </c>
      <c r="E59" s="41" t="s">
        <v>1</v>
      </c>
      <c r="F59" s="39">
        <v>444.58</v>
      </c>
      <c r="G59" s="38">
        <v>1.822322</v>
      </c>
      <c r="H59" s="29">
        <v>23014</v>
      </c>
      <c r="I59" s="29">
        <v>31170</v>
      </c>
      <c r="J59" s="29">
        <v>193</v>
      </c>
      <c r="K59" s="29">
        <v>1</v>
      </c>
      <c r="L59" s="29">
        <v>1</v>
      </c>
      <c r="M59" s="29">
        <v>1</v>
      </c>
      <c r="N59" s="29">
        <v>1</v>
      </c>
      <c r="O59" s="29">
        <v>1</v>
      </c>
    </row>
    <row r="60" spans="1:15" ht="15.75" customHeight="1" x14ac:dyDescent="0.3">
      <c r="A60" s="45" t="s">
        <v>154</v>
      </c>
      <c r="B60" s="46" t="s">
        <v>22</v>
      </c>
      <c r="C60" s="46" t="s">
        <v>117</v>
      </c>
      <c r="D60" s="46" t="s">
        <v>37</v>
      </c>
      <c r="E60" s="52" t="s">
        <v>1</v>
      </c>
      <c r="F60" s="48">
        <v>552.27599999999995</v>
      </c>
      <c r="G60" s="49">
        <v>2.4688379999999999</v>
      </c>
      <c r="H60" s="50">
        <v>24243</v>
      </c>
      <c r="I60" s="50">
        <v>38352</v>
      </c>
      <c r="J60" s="50">
        <v>482</v>
      </c>
      <c r="K60" s="50">
        <v>1</v>
      </c>
      <c r="L60" s="50">
        <v>2</v>
      </c>
      <c r="M60" s="50">
        <v>1</v>
      </c>
      <c r="N60" s="50">
        <v>1</v>
      </c>
      <c r="O60" s="50">
        <v>1</v>
      </c>
    </row>
    <row r="61" spans="1:15" ht="15.75" customHeight="1" x14ac:dyDescent="0.3">
      <c r="A61" s="51" t="s">
        <v>155</v>
      </c>
      <c r="B61" s="28" t="s">
        <v>24</v>
      </c>
      <c r="C61" s="28" t="s">
        <v>88</v>
      </c>
      <c r="D61" s="28" t="s">
        <v>36</v>
      </c>
      <c r="E61" s="41" t="s">
        <v>1</v>
      </c>
      <c r="F61" s="39">
        <v>454.30200000000002</v>
      </c>
      <c r="G61" s="38">
        <v>1.687241</v>
      </c>
      <c r="H61" s="29">
        <v>19516</v>
      </c>
      <c r="I61" s="29">
        <v>26625</v>
      </c>
      <c r="J61" s="29">
        <v>263</v>
      </c>
      <c r="K61" s="29">
        <v>1</v>
      </c>
      <c r="L61" s="29">
        <v>1</v>
      </c>
      <c r="M61" s="29">
        <v>1</v>
      </c>
      <c r="N61" s="29">
        <v>1</v>
      </c>
      <c r="O61" s="29">
        <v>1</v>
      </c>
    </row>
    <row r="62" spans="1:15" ht="15.75" customHeight="1" x14ac:dyDescent="0.3">
      <c r="A62" s="45" t="s">
        <v>156</v>
      </c>
      <c r="B62" s="46" t="s">
        <v>30</v>
      </c>
      <c r="C62" s="46" t="s">
        <v>105</v>
      </c>
      <c r="D62" s="46" t="s">
        <v>34</v>
      </c>
      <c r="E62" s="52" t="s">
        <v>1</v>
      </c>
      <c r="F62" s="48">
        <v>597.47799999999995</v>
      </c>
      <c r="G62" s="49">
        <v>2.4563090000000001</v>
      </c>
      <c r="H62" s="50">
        <v>21777</v>
      </c>
      <c r="I62" s="50">
        <v>37304</v>
      </c>
      <c r="J62" s="50">
        <v>431</v>
      </c>
      <c r="K62" s="50">
        <v>1</v>
      </c>
      <c r="L62" s="50">
        <v>1</v>
      </c>
      <c r="M62" s="50">
        <v>1</v>
      </c>
      <c r="N62" s="50">
        <v>1</v>
      </c>
      <c r="O62" s="50">
        <v>1</v>
      </c>
    </row>
    <row r="63" spans="1:15" ht="15.75" customHeight="1" x14ac:dyDescent="0.3">
      <c r="A63" s="51" t="s">
        <v>157</v>
      </c>
      <c r="B63" s="28" t="s">
        <v>25</v>
      </c>
      <c r="C63" s="28" t="s">
        <v>119</v>
      </c>
      <c r="D63" s="28" t="s">
        <v>35</v>
      </c>
      <c r="E63" s="41" t="s">
        <v>1</v>
      </c>
      <c r="F63" s="39">
        <v>435.46100000000001</v>
      </c>
      <c r="G63" s="38">
        <v>1.8600680000000001</v>
      </c>
      <c r="H63" s="29">
        <v>16993</v>
      </c>
      <c r="I63" s="29">
        <v>27265</v>
      </c>
      <c r="J63" s="29">
        <v>395</v>
      </c>
      <c r="K63" s="29">
        <v>1</v>
      </c>
      <c r="L63" s="29">
        <v>1</v>
      </c>
      <c r="M63" s="29">
        <v>1</v>
      </c>
      <c r="N63" s="29">
        <v>1</v>
      </c>
      <c r="O63" s="29">
        <v>1</v>
      </c>
    </row>
    <row r="64" spans="1:15" ht="15.75" customHeight="1" x14ac:dyDescent="0.3">
      <c r="A64" s="45" t="s">
        <v>63</v>
      </c>
      <c r="B64" s="46" t="s">
        <v>25</v>
      </c>
      <c r="C64" s="46" t="s">
        <v>107</v>
      </c>
      <c r="D64" s="46" t="s">
        <v>36</v>
      </c>
      <c r="E64" s="47" t="s">
        <v>20</v>
      </c>
      <c r="F64" s="48">
        <v>346.23899999999998</v>
      </c>
      <c r="G64" s="49">
        <v>3.1492450000000001</v>
      </c>
      <c r="H64" s="50">
        <v>11065</v>
      </c>
      <c r="I64" s="50">
        <v>26115</v>
      </c>
      <c r="J64" s="50">
        <v>418</v>
      </c>
      <c r="K64" s="50">
        <v>0</v>
      </c>
      <c r="L64" s="50">
        <v>0</v>
      </c>
      <c r="M64" s="50">
        <v>1</v>
      </c>
      <c r="N64" s="50">
        <v>1</v>
      </c>
      <c r="O64" s="50">
        <v>1</v>
      </c>
    </row>
    <row r="65" spans="1:15" ht="15.75" customHeight="1" x14ac:dyDescent="0.3">
      <c r="A65" s="51" t="s">
        <v>158</v>
      </c>
      <c r="B65" s="28" t="s">
        <v>30</v>
      </c>
      <c r="C65" s="28" t="s">
        <v>159</v>
      </c>
      <c r="D65" s="28" t="s">
        <v>34</v>
      </c>
      <c r="E65" s="41" t="s">
        <v>1</v>
      </c>
      <c r="F65" s="39">
        <v>552.19299999999998</v>
      </c>
      <c r="G65" s="38">
        <v>1.957473</v>
      </c>
      <c r="H65" s="29">
        <v>10898</v>
      </c>
      <c r="I65" s="29">
        <v>23500</v>
      </c>
      <c r="J65" s="29">
        <v>433</v>
      </c>
      <c r="K65" s="29">
        <v>1</v>
      </c>
      <c r="L65" s="29">
        <v>0</v>
      </c>
      <c r="M65" s="29">
        <v>1</v>
      </c>
      <c r="N65" s="29">
        <v>1</v>
      </c>
      <c r="O65" s="29">
        <v>1</v>
      </c>
    </row>
    <row r="66" spans="1:15" ht="15.75" customHeight="1" x14ac:dyDescent="0.3">
      <c r="A66" s="45" t="s">
        <v>160</v>
      </c>
      <c r="B66" s="46" t="s">
        <v>27</v>
      </c>
      <c r="C66" s="46" t="s">
        <v>79</v>
      </c>
      <c r="D66" s="46" t="s">
        <v>37</v>
      </c>
      <c r="E66" s="52" t="s">
        <v>1</v>
      </c>
      <c r="F66" s="48">
        <v>677.68700000000001</v>
      </c>
      <c r="G66" s="49">
        <v>2.467422</v>
      </c>
      <c r="H66" s="50">
        <v>40017</v>
      </c>
      <c r="I66" s="50">
        <v>50678</v>
      </c>
      <c r="J66" s="50">
        <v>208</v>
      </c>
      <c r="K66" s="50">
        <v>1</v>
      </c>
      <c r="L66" s="50">
        <v>2</v>
      </c>
      <c r="M66" s="50">
        <v>1</v>
      </c>
      <c r="N66" s="50">
        <v>1</v>
      </c>
      <c r="O66" s="50">
        <v>1</v>
      </c>
    </row>
    <row r="67" spans="1:15" ht="15.75" customHeight="1" x14ac:dyDescent="0.3">
      <c r="A67" s="51" t="s">
        <v>161</v>
      </c>
      <c r="B67" s="28" t="s">
        <v>23</v>
      </c>
      <c r="C67" s="28" t="s">
        <v>126</v>
      </c>
      <c r="D67" s="28" t="s">
        <v>36</v>
      </c>
      <c r="E67" s="41" t="s">
        <v>1</v>
      </c>
      <c r="F67" s="39">
        <v>675.71100000000001</v>
      </c>
      <c r="G67" s="38">
        <v>2.1441880000000002</v>
      </c>
      <c r="H67" s="29">
        <v>40741</v>
      </c>
      <c r="I67" s="29">
        <v>47048</v>
      </c>
      <c r="J67" s="29">
        <v>183</v>
      </c>
      <c r="K67" s="29">
        <v>1</v>
      </c>
      <c r="L67" s="29">
        <v>2</v>
      </c>
      <c r="M67" s="29">
        <v>1</v>
      </c>
      <c r="N67" s="29">
        <v>1</v>
      </c>
      <c r="O67" s="29">
        <v>1</v>
      </c>
    </row>
    <row r="68" spans="1:15" ht="15.75" customHeight="1" x14ac:dyDescent="0.3">
      <c r="A68" s="45" t="s">
        <v>162</v>
      </c>
      <c r="B68" s="46" t="s">
        <v>25</v>
      </c>
      <c r="C68" s="46" t="s">
        <v>107</v>
      </c>
      <c r="D68" s="46" t="s">
        <v>37</v>
      </c>
      <c r="E68" s="52" t="s">
        <v>1</v>
      </c>
      <c r="F68" s="48">
        <v>544.83699999999999</v>
      </c>
      <c r="G68" s="49">
        <v>2.0426000000000002</v>
      </c>
      <c r="H68" s="50">
        <v>21519</v>
      </c>
      <c r="I68" s="50">
        <v>34031</v>
      </c>
      <c r="J68" s="50">
        <v>325</v>
      </c>
      <c r="K68" s="50">
        <v>1</v>
      </c>
      <c r="L68" s="50">
        <v>1</v>
      </c>
      <c r="M68" s="50">
        <v>1</v>
      </c>
      <c r="N68" s="50">
        <v>1</v>
      </c>
      <c r="O68" s="50">
        <v>1</v>
      </c>
    </row>
    <row r="69" spans="1:15" ht="15.75" customHeight="1" x14ac:dyDescent="0.3">
      <c r="A69" s="51" t="s">
        <v>163</v>
      </c>
      <c r="B69" s="28" t="s">
        <v>27</v>
      </c>
      <c r="C69" s="28" t="s">
        <v>151</v>
      </c>
      <c r="D69" s="28" t="s">
        <v>36</v>
      </c>
      <c r="E69" s="41" t="s">
        <v>1</v>
      </c>
      <c r="F69" s="39">
        <v>305.66699999999997</v>
      </c>
      <c r="G69" s="38">
        <v>1.822716</v>
      </c>
      <c r="H69" s="29">
        <v>11173</v>
      </c>
      <c r="I69" s="29">
        <v>21714</v>
      </c>
      <c r="J69" s="29">
        <v>313</v>
      </c>
      <c r="K69" s="29">
        <v>1</v>
      </c>
      <c r="L69" s="29">
        <v>0</v>
      </c>
      <c r="M69" s="29">
        <v>1</v>
      </c>
      <c r="N69" s="29">
        <v>1</v>
      </c>
      <c r="O69" s="29">
        <v>1</v>
      </c>
    </row>
    <row r="70" spans="1:15" ht="15.75" customHeight="1" x14ac:dyDescent="0.3">
      <c r="A70" s="45" t="s">
        <v>164</v>
      </c>
      <c r="B70" s="46" t="s">
        <v>24</v>
      </c>
      <c r="C70" s="46" t="s">
        <v>90</v>
      </c>
      <c r="D70" s="46" t="s">
        <v>36</v>
      </c>
      <c r="E70" s="52" t="s">
        <v>1</v>
      </c>
      <c r="F70" s="48">
        <v>301.33499999999998</v>
      </c>
      <c r="G70" s="49">
        <v>1.696329</v>
      </c>
      <c r="H70" s="50">
        <v>11045</v>
      </c>
      <c r="I70" s="50">
        <v>20149</v>
      </c>
      <c r="J70" s="50">
        <v>302</v>
      </c>
      <c r="K70" s="50">
        <v>1</v>
      </c>
      <c r="L70" s="50">
        <v>0</v>
      </c>
      <c r="M70" s="50">
        <v>1</v>
      </c>
      <c r="N70" s="50">
        <v>1</v>
      </c>
      <c r="O70" s="50">
        <v>1</v>
      </c>
    </row>
    <row r="71" spans="1:15" ht="15.75" customHeight="1" x14ac:dyDescent="0.3">
      <c r="A71" s="51" t="s">
        <v>165</v>
      </c>
      <c r="B71" s="28" t="s">
        <v>22</v>
      </c>
      <c r="C71" s="28" t="s">
        <v>117</v>
      </c>
      <c r="D71" s="28" t="s">
        <v>37</v>
      </c>
      <c r="E71" s="41" t="s">
        <v>1</v>
      </c>
      <c r="F71" s="39">
        <v>408.06799999999998</v>
      </c>
      <c r="G71" s="38">
        <v>1.9179440000000001</v>
      </c>
      <c r="H71" s="29">
        <v>17882</v>
      </c>
      <c r="I71" s="29">
        <v>28240</v>
      </c>
      <c r="J71" s="29">
        <v>349</v>
      </c>
      <c r="K71" s="29">
        <v>1</v>
      </c>
      <c r="L71" s="29">
        <v>1</v>
      </c>
      <c r="M71" s="29">
        <v>1</v>
      </c>
      <c r="N71" s="29">
        <v>1</v>
      </c>
      <c r="O71" s="29">
        <v>1</v>
      </c>
    </row>
    <row r="72" spans="1:15" ht="15.75" customHeight="1" x14ac:dyDescent="0.3">
      <c r="A72" s="45" t="s">
        <v>166</v>
      </c>
      <c r="B72" s="46" t="s">
        <v>27</v>
      </c>
      <c r="C72" s="46" t="s">
        <v>151</v>
      </c>
      <c r="D72" s="46" t="s">
        <v>36</v>
      </c>
      <c r="E72" s="52" t="s">
        <v>1</v>
      </c>
      <c r="F72" s="48">
        <v>399.90600000000001</v>
      </c>
      <c r="G72" s="49">
        <v>1.7263790000000001</v>
      </c>
      <c r="H72" s="50">
        <v>16171</v>
      </c>
      <c r="I72" s="50">
        <v>25036</v>
      </c>
      <c r="J72" s="50">
        <v>345</v>
      </c>
      <c r="K72" s="50">
        <v>1</v>
      </c>
      <c r="L72" s="50">
        <v>1</v>
      </c>
      <c r="M72" s="50">
        <v>1</v>
      </c>
      <c r="N72" s="50">
        <v>1</v>
      </c>
      <c r="O72" s="50">
        <v>1</v>
      </c>
    </row>
    <row r="73" spans="1:15" ht="15.75" customHeight="1" x14ac:dyDescent="0.3">
      <c r="A73" s="51" t="s">
        <v>167</v>
      </c>
      <c r="B73" s="28" t="s">
        <v>29</v>
      </c>
      <c r="C73" s="28" t="s">
        <v>92</v>
      </c>
      <c r="D73" s="28" t="s">
        <v>37</v>
      </c>
      <c r="E73" s="41" t="s">
        <v>1</v>
      </c>
      <c r="F73" s="39">
        <v>497.33</v>
      </c>
      <c r="G73" s="38">
        <v>2.0689340000000001</v>
      </c>
      <c r="H73" s="29">
        <v>26173</v>
      </c>
      <c r="I73" s="29">
        <v>35719</v>
      </c>
      <c r="J73" s="29">
        <v>195</v>
      </c>
      <c r="K73" s="29">
        <v>1</v>
      </c>
      <c r="L73" s="29">
        <v>1</v>
      </c>
      <c r="M73" s="29">
        <v>1</v>
      </c>
      <c r="N73" s="29">
        <v>1</v>
      </c>
      <c r="O73" s="29">
        <v>1</v>
      </c>
    </row>
    <row r="74" spans="1:15" ht="15.75" customHeight="1" x14ac:dyDescent="0.3">
      <c r="A74" s="45" t="s">
        <v>168</v>
      </c>
      <c r="B74" s="46" t="s">
        <v>23</v>
      </c>
      <c r="C74" s="46" t="s">
        <v>138</v>
      </c>
      <c r="D74" s="46" t="s">
        <v>37</v>
      </c>
      <c r="E74" s="52" t="s">
        <v>1</v>
      </c>
      <c r="F74" s="48">
        <v>711.97299999999996</v>
      </c>
      <c r="G74" s="49">
        <v>2.460817</v>
      </c>
      <c r="H74" s="50">
        <v>34681</v>
      </c>
      <c r="I74" s="50">
        <v>46871</v>
      </c>
      <c r="J74" s="50">
        <v>373</v>
      </c>
      <c r="K74" s="50">
        <v>1</v>
      </c>
      <c r="L74" s="50">
        <v>2</v>
      </c>
      <c r="M74" s="50">
        <v>1</v>
      </c>
      <c r="N74" s="50">
        <v>1</v>
      </c>
      <c r="O74" s="50">
        <v>1</v>
      </c>
    </row>
    <row r="75" spans="1:15" ht="15.75" customHeight="1" x14ac:dyDescent="0.3">
      <c r="A75" s="51" t="s">
        <v>67</v>
      </c>
      <c r="B75" s="28" t="s">
        <v>29</v>
      </c>
      <c r="C75" s="28" t="s">
        <v>92</v>
      </c>
      <c r="D75" s="28" t="s">
        <v>37</v>
      </c>
      <c r="E75" s="42" t="s">
        <v>2</v>
      </c>
      <c r="F75" s="39">
        <v>1176.432</v>
      </c>
      <c r="G75" s="38">
        <v>2.894838</v>
      </c>
      <c r="H75" s="29">
        <v>37745</v>
      </c>
      <c r="I75" s="29">
        <v>57546</v>
      </c>
      <c r="J75" s="29">
        <v>535</v>
      </c>
      <c r="K75" s="29">
        <v>0</v>
      </c>
      <c r="L75" s="29">
        <v>2</v>
      </c>
      <c r="M75" s="29">
        <v>1</v>
      </c>
      <c r="N75" s="29">
        <v>1</v>
      </c>
      <c r="O75" s="29">
        <v>1</v>
      </c>
    </row>
    <row r="76" spans="1:15" ht="15.75" customHeight="1" x14ac:dyDescent="0.3">
      <c r="A76" s="45" t="s">
        <v>60</v>
      </c>
      <c r="B76" s="46" t="s">
        <v>25</v>
      </c>
      <c r="C76" s="46" t="s">
        <v>77</v>
      </c>
      <c r="D76" s="46" t="s">
        <v>37</v>
      </c>
      <c r="E76" s="52" t="s">
        <v>1</v>
      </c>
      <c r="F76" s="48">
        <v>398.99299999999999</v>
      </c>
      <c r="G76" s="49">
        <v>3.3867759999999998</v>
      </c>
      <c r="H76" s="50">
        <v>11297</v>
      </c>
      <c r="I76" s="50">
        <v>27891</v>
      </c>
      <c r="J76" s="50">
        <v>446</v>
      </c>
      <c r="K76" s="50">
        <v>1</v>
      </c>
      <c r="L76" s="50">
        <v>0</v>
      </c>
      <c r="M76" s="50">
        <v>1</v>
      </c>
      <c r="N76" s="50">
        <v>1</v>
      </c>
      <c r="O76" s="50">
        <v>1</v>
      </c>
    </row>
    <row r="77" spans="1:15" ht="15.75" customHeight="1" x14ac:dyDescent="0.3">
      <c r="A77" s="51" t="s">
        <v>169</v>
      </c>
      <c r="B77" s="28" t="s">
        <v>29</v>
      </c>
      <c r="C77" s="28" t="s">
        <v>148</v>
      </c>
      <c r="D77" s="28" t="s">
        <v>35</v>
      </c>
      <c r="E77" s="41" t="s">
        <v>1</v>
      </c>
      <c r="F77" s="39">
        <v>307.22500000000002</v>
      </c>
      <c r="G77" s="38">
        <v>1.72062</v>
      </c>
      <c r="H77" s="29">
        <v>11339</v>
      </c>
      <c r="I77" s="29">
        <v>20320</v>
      </c>
      <c r="J77" s="29">
        <v>262</v>
      </c>
      <c r="K77" s="29">
        <v>1</v>
      </c>
      <c r="L77" s="29">
        <v>0</v>
      </c>
      <c r="M77" s="29">
        <v>1</v>
      </c>
      <c r="N77" s="29">
        <v>1</v>
      </c>
      <c r="O77" s="29">
        <v>1</v>
      </c>
    </row>
    <row r="78" spans="1:15" ht="15.75" customHeight="1" x14ac:dyDescent="0.3">
      <c r="A78" s="45" t="s">
        <v>170</v>
      </c>
      <c r="B78" s="46" t="s">
        <v>24</v>
      </c>
      <c r="C78" s="46" t="s">
        <v>132</v>
      </c>
      <c r="D78" s="46" t="s">
        <v>35</v>
      </c>
      <c r="E78" s="52" t="s">
        <v>1</v>
      </c>
      <c r="F78" s="48">
        <v>530.07899999999995</v>
      </c>
      <c r="G78" s="49">
        <v>2.515606</v>
      </c>
      <c r="H78" s="50">
        <v>19287</v>
      </c>
      <c r="I78" s="50">
        <v>37033</v>
      </c>
      <c r="J78" s="50">
        <v>513</v>
      </c>
      <c r="K78" s="50">
        <v>1</v>
      </c>
      <c r="L78" s="50">
        <v>1</v>
      </c>
      <c r="M78" s="50">
        <v>1</v>
      </c>
      <c r="N78" s="50">
        <v>1</v>
      </c>
      <c r="O78" s="50">
        <v>1</v>
      </c>
    </row>
    <row r="79" spans="1:15" ht="15.75" customHeight="1" x14ac:dyDescent="0.3">
      <c r="A79" s="51" t="s">
        <v>171</v>
      </c>
      <c r="B79" s="28" t="s">
        <v>29</v>
      </c>
      <c r="C79" s="28" t="s">
        <v>92</v>
      </c>
      <c r="D79" s="28" t="s">
        <v>34</v>
      </c>
      <c r="E79" s="41" t="s">
        <v>1</v>
      </c>
      <c r="F79" s="39">
        <v>423.11</v>
      </c>
      <c r="G79" s="38">
        <v>2.0132349999999999</v>
      </c>
      <c r="H79" s="29">
        <v>19288</v>
      </c>
      <c r="I79" s="29">
        <v>28627</v>
      </c>
      <c r="J79" s="29">
        <v>300</v>
      </c>
      <c r="K79" s="29">
        <v>1</v>
      </c>
      <c r="L79" s="29">
        <v>1</v>
      </c>
      <c r="M79" s="29">
        <v>1</v>
      </c>
      <c r="N79" s="29">
        <v>1</v>
      </c>
      <c r="O79" s="29">
        <v>1</v>
      </c>
    </row>
    <row r="80" spans="1:15" ht="15.75" customHeight="1" x14ac:dyDescent="0.3">
      <c r="A80" s="45" t="s">
        <v>172</v>
      </c>
      <c r="B80" s="46" t="s">
        <v>27</v>
      </c>
      <c r="C80" s="46" t="s">
        <v>123</v>
      </c>
      <c r="D80" s="46" t="s">
        <v>37</v>
      </c>
      <c r="E80" s="52" t="s">
        <v>1</v>
      </c>
      <c r="F80" s="48">
        <v>388.19600000000003</v>
      </c>
      <c r="G80" s="49">
        <v>2.0404589999999998</v>
      </c>
      <c r="H80" s="50">
        <v>11413</v>
      </c>
      <c r="I80" s="50">
        <v>24567</v>
      </c>
      <c r="J80" s="50">
        <v>344</v>
      </c>
      <c r="K80" s="50">
        <v>1</v>
      </c>
      <c r="L80" s="50">
        <v>0</v>
      </c>
      <c r="M80" s="50">
        <v>1</v>
      </c>
      <c r="N80" s="50">
        <v>1</v>
      </c>
      <c r="O80" s="50">
        <v>1</v>
      </c>
    </row>
    <row r="81" spans="1:15" ht="15.75" customHeight="1" x14ac:dyDescent="0.3">
      <c r="A81" s="51" t="s">
        <v>173</v>
      </c>
      <c r="B81" s="28" t="s">
        <v>23</v>
      </c>
      <c r="C81" s="28" t="s">
        <v>138</v>
      </c>
      <c r="D81" s="28" t="s">
        <v>34</v>
      </c>
      <c r="E81" s="41" t="s">
        <v>1</v>
      </c>
      <c r="F81" s="39">
        <v>313.87599999999998</v>
      </c>
      <c r="G81" s="38">
        <v>1.6688700000000001</v>
      </c>
      <c r="H81" s="29">
        <v>11219</v>
      </c>
      <c r="I81" s="29">
        <v>19554</v>
      </c>
      <c r="J81" s="29">
        <v>343</v>
      </c>
      <c r="K81" s="29">
        <v>1</v>
      </c>
      <c r="L81" s="29">
        <v>0</v>
      </c>
      <c r="M81" s="29">
        <v>1</v>
      </c>
      <c r="N81" s="29">
        <v>1</v>
      </c>
      <c r="O81" s="29">
        <v>1</v>
      </c>
    </row>
    <row r="82" spans="1:15" ht="15.75" customHeight="1" x14ac:dyDescent="0.3">
      <c r="A82" s="45" t="s">
        <v>174</v>
      </c>
      <c r="B82" s="46" t="s">
        <v>23</v>
      </c>
      <c r="C82" s="46" t="s">
        <v>126</v>
      </c>
      <c r="D82" s="46" t="s">
        <v>35</v>
      </c>
      <c r="E82" s="52" t="s">
        <v>1</v>
      </c>
      <c r="F82" s="48">
        <v>489.053</v>
      </c>
      <c r="G82" s="49">
        <v>1.920083</v>
      </c>
      <c r="H82" s="50">
        <v>24807</v>
      </c>
      <c r="I82" s="50">
        <v>33496</v>
      </c>
      <c r="J82" s="50">
        <v>237</v>
      </c>
      <c r="K82" s="50">
        <v>1</v>
      </c>
      <c r="L82" s="50">
        <v>1</v>
      </c>
      <c r="M82" s="50">
        <v>1</v>
      </c>
      <c r="N82" s="50">
        <v>1</v>
      </c>
      <c r="O82" s="50">
        <v>1</v>
      </c>
    </row>
    <row r="83" spans="1:15" ht="15.75" customHeight="1" x14ac:dyDescent="0.3">
      <c r="A83" s="51" t="s">
        <v>175</v>
      </c>
      <c r="B83" s="28" t="s">
        <v>30</v>
      </c>
      <c r="C83" s="28" t="s">
        <v>96</v>
      </c>
      <c r="D83" s="28" t="s">
        <v>34</v>
      </c>
      <c r="E83" s="41" t="s">
        <v>1</v>
      </c>
      <c r="F83" s="39">
        <v>363.77499999999998</v>
      </c>
      <c r="G83" s="38">
        <v>2.1947939999999999</v>
      </c>
      <c r="H83" s="29">
        <v>11646</v>
      </c>
      <c r="I83" s="29">
        <v>26519</v>
      </c>
      <c r="J83" s="29">
        <v>351</v>
      </c>
      <c r="K83" s="29">
        <v>1</v>
      </c>
      <c r="L83" s="29">
        <v>0</v>
      </c>
      <c r="M83" s="29">
        <v>1</v>
      </c>
      <c r="N83" s="29">
        <v>1</v>
      </c>
      <c r="O83" s="29">
        <v>1</v>
      </c>
    </row>
    <row r="84" spans="1:15" ht="15.75" customHeight="1" x14ac:dyDescent="0.3">
      <c r="A84" s="45" t="s">
        <v>176</v>
      </c>
      <c r="B84" s="46" t="s">
        <v>30</v>
      </c>
      <c r="C84" s="46" t="s">
        <v>159</v>
      </c>
      <c r="D84" s="46" t="s">
        <v>35</v>
      </c>
      <c r="E84" s="52" t="s">
        <v>1</v>
      </c>
      <c r="F84" s="48">
        <v>308.05900000000003</v>
      </c>
      <c r="G84" s="49">
        <v>1.453946</v>
      </c>
      <c r="H84" s="50">
        <v>17060</v>
      </c>
      <c r="I84" s="50">
        <v>21172</v>
      </c>
      <c r="J84" s="50">
        <v>238</v>
      </c>
      <c r="K84" s="50">
        <v>1</v>
      </c>
      <c r="L84" s="50">
        <v>1</v>
      </c>
      <c r="M84" s="50">
        <v>1</v>
      </c>
      <c r="N84" s="50">
        <v>1</v>
      </c>
      <c r="O84" s="50">
        <v>1</v>
      </c>
    </row>
    <row r="85" spans="1:15" ht="15.75" customHeight="1" x14ac:dyDescent="0.3">
      <c r="A85" s="51" t="s">
        <v>177</v>
      </c>
      <c r="B85" s="28" t="s">
        <v>28</v>
      </c>
      <c r="C85" s="28" t="s">
        <v>110</v>
      </c>
      <c r="D85" s="28" t="s">
        <v>37</v>
      </c>
      <c r="E85" s="41" t="s">
        <v>1</v>
      </c>
      <c r="F85" s="39">
        <v>366.19600000000003</v>
      </c>
      <c r="G85" s="38">
        <v>2.0974200000000001</v>
      </c>
      <c r="H85" s="29">
        <v>11375</v>
      </c>
      <c r="I85" s="29">
        <v>25332</v>
      </c>
      <c r="J85" s="29">
        <v>388</v>
      </c>
      <c r="K85" s="29">
        <v>1</v>
      </c>
      <c r="L85" s="29">
        <v>0</v>
      </c>
      <c r="M85" s="29">
        <v>1</v>
      </c>
      <c r="N85" s="29">
        <v>1</v>
      </c>
      <c r="O85" s="29">
        <v>1</v>
      </c>
    </row>
    <row r="86" spans="1:15" ht="15.75" customHeight="1" x14ac:dyDescent="0.3">
      <c r="A86" s="45" t="s">
        <v>178</v>
      </c>
      <c r="B86" s="46" t="s">
        <v>26</v>
      </c>
      <c r="C86" s="46" t="s">
        <v>134</v>
      </c>
      <c r="D86" s="46" t="s">
        <v>34</v>
      </c>
      <c r="E86" s="54" t="s">
        <v>2</v>
      </c>
      <c r="F86" s="48">
        <v>910.803</v>
      </c>
      <c r="G86" s="49">
        <v>2.2839010000000002</v>
      </c>
      <c r="H86" s="50">
        <v>27615</v>
      </c>
      <c r="I86" s="50">
        <v>51989</v>
      </c>
      <c r="J86" s="50">
        <v>705</v>
      </c>
      <c r="K86" s="50">
        <v>0</v>
      </c>
      <c r="L86" s="50">
        <v>2</v>
      </c>
      <c r="M86" s="50">
        <v>1</v>
      </c>
      <c r="N86" s="50">
        <v>1</v>
      </c>
      <c r="O86" s="50">
        <v>1</v>
      </c>
    </row>
    <row r="87" spans="1:15" ht="15.75" customHeight="1" x14ac:dyDescent="0.3">
      <c r="A87" s="51" t="s">
        <v>179</v>
      </c>
      <c r="B87" s="28" t="s">
        <v>27</v>
      </c>
      <c r="C87" s="28" t="s">
        <v>79</v>
      </c>
      <c r="D87" s="28" t="s">
        <v>36</v>
      </c>
      <c r="E87" s="41" t="s">
        <v>1</v>
      </c>
      <c r="F87" s="39">
        <v>369.64400000000001</v>
      </c>
      <c r="G87" s="38">
        <v>1.799045</v>
      </c>
      <c r="H87" s="29">
        <v>17001</v>
      </c>
      <c r="I87" s="29">
        <v>25552</v>
      </c>
      <c r="J87" s="29">
        <v>365</v>
      </c>
      <c r="K87" s="29">
        <v>1</v>
      </c>
      <c r="L87" s="29">
        <v>1</v>
      </c>
      <c r="M87" s="29">
        <v>1</v>
      </c>
      <c r="N87" s="29">
        <v>1</v>
      </c>
      <c r="O87" s="29">
        <v>1</v>
      </c>
    </row>
    <row r="88" spans="1:15" ht="15.75" customHeight="1" x14ac:dyDescent="0.3">
      <c r="A88" s="45" t="s">
        <v>180</v>
      </c>
      <c r="B88" s="46" t="s">
        <v>28</v>
      </c>
      <c r="C88" s="46" t="s">
        <v>125</v>
      </c>
      <c r="D88" s="46" t="s">
        <v>35</v>
      </c>
      <c r="E88" s="52" t="s">
        <v>1</v>
      </c>
      <c r="F88" s="48">
        <v>563.12099999999998</v>
      </c>
      <c r="G88" s="49">
        <v>1.9822599999999999</v>
      </c>
      <c r="H88" s="50">
        <v>30752</v>
      </c>
      <c r="I88" s="50">
        <v>38729</v>
      </c>
      <c r="J88" s="50">
        <v>286</v>
      </c>
      <c r="K88" s="50">
        <v>1</v>
      </c>
      <c r="L88" s="50">
        <v>2</v>
      </c>
      <c r="M88" s="50">
        <v>1</v>
      </c>
      <c r="N88" s="50">
        <v>1</v>
      </c>
      <c r="O88" s="50">
        <v>1</v>
      </c>
    </row>
    <row r="89" spans="1:15" ht="15.75" customHeight="1" x14ac:dyDescent="0.3">
      <c r="A89" s="51" t="s">
        <v>181</v>
      </c>
      <c r="B89" s="28" t="s">
        <v>27</v>
      </c>
      <c r="C89" s="28" t="s">
        <v>123</v>
      </c>
      <c r="D89" s="28" t="s">
        <v>37</v>
      </c>
      <c r="E89" s="41" t="s">
        <v>1</v>
      </c>
      <c r="F89" s="39">
        <v>585.07299999999998</v>
      </c>
      <c r="G89" s="38">
        <v>2.6785760000000001</v>
      </c>
      <c r="H89" s="29">
        <v>18240</v>
      </c>
      <c r="I89" s="29">
        <v>38774</v>
      </c>
      <c r="J89" s="29">
        <v>611</v>
      </c>
      <c r="K89" s="29">
        <v>1</v>
      </c>
      <c r="L89" s="29">
        <v>1</v>
      </c>
      <c r="M89" s="29">
        <v>1</v>
      </c>
      <c r="N89" s="29">
        <v>1</v>
      </c>
      <c r="O89" s="29">
        <v>1</v>
      </c>
    </row>
    <row r="90" spans="1:15" ht="15.75" customHeight="1" x14ac:dyDescent="0.3">
      <c r="A90" s="45" t="s">
        <v>182</v>
      </c>
      <c r="B90" s="46" t="s">
        <v>23</v>
      </c>
      <c r="C90" s="46" t="s">
        <v>183</v>
      </c>
      <c r="D90" s="46" t="s">
        <v>34</v>
      </c>
      <c r="E90" s="52" t="s">
        <v>1</v>
      </c>
      <c r="F90" s="48">
        <v>294.13400000000001</v>
      </c>
      <c r="G90" s="49">
        <v>1.7201580000000001</v>
      </c>
      <c r="H90" s="50">
        <v>11689</v>
      </c>
      <c r="I90" s="50">
        <v>20148</v>
      </c>
      <c r="J90" s="50">
        <v>126</v>
      </c>
      <c r="K90" s="50">
        <v>1</v>
      </c>
      <c r="L90" s="50">
        <v>0</v>
      </c>
      <c r="M90" s="50">
        <v>1</v>
      </c>
      <c r="N90" s="50">
        <v>1</v>
      </c>
      <c r="O90" s="50">
        <v>1</v>
      </c>
    </row>
    <row r="91" spans="1:15" ht="15.75" customHeight="1" x14ac:dyDescent="0.3">
      <c r="A91" s="51" t="s">
        <v>184</v>
      </c>
      <c r="B91" s="28" t="s">
        <v>24</v>
      </c>
      <c r="C91" s="28" t="s">
        <v>90</v>
      </c>
      <c r="D91" s="28" t="s">
        <v>35</v>
      </c>
      <c r="E91" s="41" t="s">
        <v>1</v>
      </c>
      <c r="F91" s="39">
        <v>350.947</v>
      </c>
      <c r="G91" s="38">
        <v>2.0753550000000001</v>
      </c>
      <c r="H91" s="29">
        <v>11376</v>
      </c>
      <c r="I91" s="29">
        <v>25408</v>
      </c>
      <c r="J91" s="29">
        <v>424</v>
      </c>
      <c r="K91" s="29">
        <v>1</v>
      </c>
      <c r="L91" s="29">
        <v>0</v>
      </c>
      <c r="M91" s="29">
        <v>1</v>
      </c>
      <c r="N91" s="29">
        <v>1</v>
      </c>
      <c r="O91" s="29">
        <v>1</v>
      </c>
    </row>
    <row r="92" spans="1:15" ht="15.75" customHeight="1" x14ac:dyDescent="0.3">
      <c r="A92" s="45" t="s">
        <v>185</v>
      </c>
      <c r="B92" s="46" t="s">
        <v>26</v>
      </c>
      <c r="C92" s="46" t="s">
        <v>134</v>
      </c>
      <c r="D92" s="46" t="s">
        <v>36</v>
      </c>
      <c r="E92" s="54" t="s">
        <v>2</v>
      </c>
      <c r="F92" s="48">
        <v>776.19200000000001</v>
      </c>
      <c r="G92" s="49">
        <v>2.366155</v>
      </c>
      <c r="H92" s="50">
        <v>28117</v>
      </c>
      <c r="I92" s="50">
        <v>47329</v>
      </c>
      <c r="J92" s="50">
        <v>598</v>
      </c>
      <c r="K92" s="50">
        <v>0</v>
      </c>
      <c r="L92" s="50">
        <v>2</v>
      </c>
      <c r="M92" s="50">
        <v>1</v>
      </c>
      <c r="N92" s="50">
        <v>1</v>
      </c>
      <c r="O92" s="50">
        <v>1</v>
      </c>
    </row>
    <row r="93" spans="1:15" ht="15.75" customHeight="1" x14ac:dyDescent="0.3">
      <c r="A93" s="51" t="s">
        <v>186</v>
      </c>
      <c r="B93" s="28" t="s">
        <v>28</v>
      </c>
      <c r="C93" s="28" t="s">
        <v>110</v>
      </c>
      <c r="D93" s="28" t="s">
        <v>34</v>
      </c>
      <c r="E93" s="53" t="s">
        <v>20</v>
      </c>
      <c r="F93" s="39">
        <v>640.40899999999999</v>
      </c>
      <c r="G93" s="38">
        <v>1.379111</v>
      </c>
      <c r="H93" s="29">
        <v>20675</v>
      </c>
      <c r="I93" s="29">
        <v>22428</v>
      </c>
      <c r="J93" s="29">
        <v>182</v>
      </c>
      <c r="K93" s="29">
        <v>0</v>
      </c>
      <c r="L93" s="29">
        <v>1</v>
      </c>
      <c r="M93" s="29">
        <v>1</v>
      </c>
      <c r="N93" s="29">
        <v>1</v>
      </c>
      <c r="O93" s="29">
        <v>1</v>
      </c>
    </row>
    <row r="94" spans="1:15" ht="15.75" customHeight="1" x14ac:dyDescent="0.3">
      <c r="A94" s="45" t="s">
        <v>187</v>
      </c>
      <c r="B94" s="46" t="s">
        <v>30</v>
      </c>
      <c r="C94" s="46" t="s">
        <v>105</v>
      </c>
      <c r="D94" s="46" t="s">
        <v>34</v>
      </c>
      <c r="E94" s="52" t="s">
        <v>1</v>
      </c>
      <c r="F94" s="48">
        <v>402.17700000000002</v>
      </c>
      <c r="G94" s="49">
        <v>2.1647340000000002</v>
      </c>
      <c r="H94" s="50">
        <v>11554</v>
      </c>
      <c r="I94" s="50">
        <v>26319</v>
      </c>
      <c r="J94" s="50">
        <v>421</v>
      </c>
      <c r="K94" s="50">
        <v>1</v>
      </c>
      <c r="L94" s="50">
        <v>0</v>
      </c>
      <c r="M94" s="50">
        <v>1</v>
      </c>
      <c r="N94" s="50">
        <v>1</v>
      </c>
      <c r="O94" s="50">
        <v>1</v>
      </c>
    </row>
    <row r="95" spans="1:15" ht="15.75" customHeight="1" x14ac:dyDescent="0.3">
      <c r="A95" s="51" t="s">
        <v>188</v>
      </c>
      <c r="B95" s="28" t="s">
        <v>26</v>
      </c>
      <c r="C95" s="28" t="s">
        <v>134</v>
      </c>
      <c r="D95" s="28" t="s">
        <v>34</v>
      </c>
      <c r="E95" s="41" t="s">
        <v>1</v>
      </c>
      <c r="F95" s="39">
        <v>290.36799999999999</v>
      </c>
      <c r="G95" s="38">
        <v>1.5927150000000001</v>
      </c>
      <c r="H95" s="29">
        <v>11473</v>
      </c>
      <c r="I95" s="29">
        <v>19239</v>
      </c>
      <c r="J95" s="29">
        <v>285</v>
      </c>
      <c r="K95" s="29">
        <v>1</v>
      </c>
      <c r="L95" s="29">
        <v>0</v>
      </c>
      <c r="M95" s="29">
        <v>1</v>
      </c>
      <c r="N95" s="29">
        <v>1</v>
      </c>
      <c r="O95" s="29">
        <v>1</v>
      </c>
    </row>
    <row r="96" spans="1:15" ht="15.75" customHeight="1" x14ac:dyDescent="0.3">
      <c r="A96" s="45" t="s">
        <v>189</v>
      </c>
      <c r="B96" s="46" t="s">
        <v>24</v>
      </c>
      <c r="C96" s="46" t="s">
        <v>88</v>
      </c>
      <c r="D96" s="46" t="s">
        <v>36</v>
      </c>
      <c r="E96" s="54" t="s">
        <v>2</v>
      </c>
      <c r="F96" s="48">
        <v>682.55</v>
      </c>
      <c r="G96" s="49">
        <v>1.834095</v>
      </c>
      <c r="H96" s="50">
        <v>37890</v>
      </c>
      <c r="I96" s="50">
        <v>41235</v>
      </c>
      <c r="J96" s="50">
        <v>205</v>
      </c>
      <c r="K96" s="50">
        <v>0</v>
      </c>
      <c r="L96" s="50">
        <v>3</v>
      </c>
      <c r="M96" s="50">
        <v>1</v>
      </c>
      <c r="N96" s="50">
        <v>1</v>
      </c>
      <c r="O96" s="50">
        <v>1</v>
      </c>
    </row>
    <row r="97" spans="1:15" ht="15.75" customHeight="1" x14ac:dyDescent="0.3">
      <c r="A97" s="51" t="s">
        <v>190</v>
      </c>
      <c r="B97" s="28" t="s">
        <v>24</v>
      </c>
      <c r="C97" s="28" t="s">
        <v>88</v>
      </c>
      <c r="D97" s="28" t="s">
        <v>35</v>
      </c>
      <c r="E97" s="41" t="s">
        <v>1</v>
      </c>
      <c r="F97" s="39">
        <v>342.83600000000001</v>
      </c>
      <c r="G97" s="38">
        <v>2.03478</v>
      </c>
      <c r="H97" s="29">
        <v>11783</v>
      </c>
      <c r="I97" s="29">
        <v>25076</v>
      </c>
      <c r="J97" s="29">
        <v>332</v>
      </c>
      <c r="K97" s="29">
        <v>1</v>
      </c>
      <c r="L97" s="29">
        <v>0</v>
      </c>
      <c r="M97" s="29">
        <v>1</v>
      </c>
      <c r="N97" s="29">
        <v>1</v>
      </c>
      <c r="O97" s="29">
        <v>1</v>
      </c>
    </row>
    <row r="98" spans="1:15" ht="15.75" customHeight="1" x14ac:dyDescent="0.3">
      <c r="A98" s="45" t="s">
        <v>191</v>
      </c>
      <c r="B98" s="46" t="s">
        <v>22</v>
      </c>
      <c r="C98" s="46" t="s">
        <v>192</v>
      </c>
      <c r="D98" s="46" t="s">
        <v>35</v>
      </c>
      <c r="E98" s="52" t="s">
        <v>1</v>
      </c>
      <c r="F98" s="48">
        <v>411.63299999999998</v>
      </c>
      <c r="G98" s="49">
        <v>2.0239989999999999</v>
      </c>
      <c r="H98" s="50">
        <v>17921</v>
      </c>
      <c r="I98" s="50">
        <v>28242</v>
      </c>
      <c r="J98" s="50">
        <v>385</v>
      </c>
      <c r="K98" s="50">
        <v>1</v>
      </c>
      <c r="L98" s="50">
        <v>1</v>
      </c>
      <c r="M98" s="50">
        <v>1</v>
      </c>
      <c r="N98" s="50">
        <v>1</v>
      </c>
      <c r="O98" s="50">
        <v>1</v>
      </c>
    </row>
    <row r="99" spans="1:15" ht="15.75" customHeight="1" x14ac:dyDescent="0.3">
      <c r="A99" s="51" t="s">
        <v>193</v>
      </c>
      <c r="B99" s="28" t="s">
        <v>28</v>
      </c>
      <c r="C99" s="28" t="s">
        <v>110</v>
      </c>
      <c r="D99" s="28" t="s">
        <v>36</v>
      </c>
      <c r="E99" s="41" t="s">
        <v>1</v>
      </c>
      <c r="F99" s="39">
        <v>503.17899999999997</v>
      </c>
      <c r="G99" s="38">
        <v>2.0343499999999999</v>
      </c>
      <c r="H99" s="29">
        <v>18580</v>
      </c>
      <c r="I99" s="29">
        <v>30004</v>
      </c>
      <c r="J99" s="29">
        <v>411</v>
      </c>
      <c r="K99" s="29">
        <v>1</v>
      </c>
      <c r="L99" s="29">
        <v>1</v>
      </c>
      <c r="M99" s="29">
        <v>1</v>
      </c>
      <c r="N99" s="29">
        <v>1</v>
      </c>
      <c r="O99" s="29">
        <v>1</v>
      </c>
    </row>
    <row r="100" spans="1:15" ht="15.75" customHeight="1" x14ac:dyDescent="0.3">
      <c r="A100" s="45" t="s">
        <v>194</v>
      </c>
      <c r="B100" s="46" t="s">
        <v>22</v>
      </c>
      <c r="C100" s="46" t="s">
        <v>192</v>
      </c>
      <c r="D100" s="46" t="s">
        <v>37</v>
      </c>
      <c r="E100" s="52" t="s">
        <v>1</v>
      </c>
      <c r="F100" s="48">
        <v>490.01</v>
      </c>
      <c r="G100" s="49">
        <v>2.3359549999999998</v>
      </c>
      <c r="H100" s="50">
        <v>25178</v>
      </c>
      <c r="I100" s="50">
        <v>38513</v>
      </c>
      <c r="J100" s="50">
        <v>279</v>
      </c>
      <c r="K100" s="50">
        <v>1</v>
      </c>
      <c r="L100" s="50">
        <v>1</v>
      </c>
      <c r="M100" s="50">
        <v>1</v>
      </c>
      <c r="N100" s="50">
        <v>1</v>
      </c>
      <c r="O100" s="50">
        <v>1</v>
      </c>
    </row>
    <row r="101" spans="1:15" ht="15.75" customHeight="1" x14ac:dyDescent="0.3">
      <c r="A101" s="51" t="s">
        <v>195</v>
      </c>
      <c r="B101" s="28" t="s">
        <v>24</v>
      </c>
      <c r="C101" s="28" t="s">
        <v>132</v>
      </c>
      <c r="D101" s="28" t="s">
        <v>35</v>
      </c>
      <c r="E101" s="41" t="s">
        <v>1</v>
      </c>
      <c r="F101" s="39">
        <v>261.32</v>
      </c>
      <c r="G101" s="38">
        <v>1.57464</v>
      </c>
      <c r="H101" s="29">
        <v>11409</v>
      </c>
      <c r="I101" s="29">
        <v>18366</v>
      </c>
      <c r="J101" s="29">
        <v>283</v>
      </c>
      <c r="K101" s="29">
        <v>1</v>
      </c>
      <c r="L101" s="29">
        <v>0</v>
      </c>
      <c r="M101" s="29">
        <v>1</v>
      </c>
      <c r="N101" s="29">
        <v>1</v>
      </c>
      <c r="O101" s="29">
        <v>1</v>
      </c>
    </row>
    <row r="102" spans="1:15" ht="15.75" customHeight="1" x14ac:dyDescent="0.3">
      <c r="A102" s="45" t="s">
        <v>59</v>
      </c>
      <c r="B102" s="46" t="s">
        <v>27</v>
      </c>
      <c r="C102" s="46" t="s">
        <v>151</v>
      </c>
      <c r="D102" s="46" t="s">
        <v>37</v>
      </c>
      <c r="E102" s="52" t="s">
        <v>1</v>
      </c>
      <c r="F102" s="48">
        <v>524.94399999999996</v>
      </c>
      <c r="G102" s="49">
        <v>3.8478379999999999</v>
      </c>
      <c r="H102" s="50">
        <v>11996</v>
      </c>
      <c r="I102" s="50">
        <v>35520</v>
      </c>
      <c r="J102" s="50">
        <v>469</v>
      </c>
      <c r="K102" s="50">
        <v>1</v>
      </c>
      <c r="L102" s="50">
        <v>0</v>
      </c>
      <c r="M102" s="50">
        <v>1</v>
      </c>
      <c r="N102" s="50">
        <v>1</v>
      </c>
      <c r="O102" s="50">
        <v>1</v>
      </c>
    </row>
    <row r="103" spans="1:15" ht="15.75" customHeight="1" x14ac:dyDescent="0.3">
      <c r="A103" s="51" t="s">
        <v>196</v>
      </c>
      <c r="B103" s="28" t="s">
        <v>27</v>
      </c>
      <c r="C103" s="28" t="s">
        <v>123</v>
      </c>
      <c r="D103" s="28" t="s">
        <v>36</v>
      </c>
      <c r="E103" s="41" t="s">
        <v>1</v>
      </c>
      <c r="F103" s="39">
        <v>444.548</v>
      </c>
      <c r="G103" s="38">
        <v>2.4872190000000001</v>
      </c>
      <c r="H103" s="29">
        <v>11991</v>
      </c>
      <c r="I103" s="29">
        <v>30573</v>
      </c>
      <c r="J103" s="29">
        <v>525</v>
      </c>
      <c r="K103" s="29">
        <v>1</v>
      </c>
      <c r="L103" s="29">
        <v>0</v>
      </c>
      <c r="M103" s="29">
        <v>1</v>
      </c>
      <c r="N103" s="29">
        <v>1</v>
      </c>
      <c r="O103" s="29">
        <v>1</v>
      </c>
    </row>
    <row r="104" spans="1:15" ht="15.75" customHeight="1" x14ac:dyDescent="0.3">
      <c r="A104" s="45" t="s">
        <v>197</v>
      </c>
      <c r="B104" s="46" t="s">
        <v>23</v>
      </c>
      <c r="C104" s="46" t="s">
        <v>138</v>
      </c>
      <c r="D104" s="46" t="s">
        <v>34</v>
      </c>
      <c r="E104" s="54" t="s">
        <v>2</v>
      </c>
      <c r="F104" s="48">
        <v>644.33000000000004</v>
      </c>
      <c r="G104" s="49">
        <v>1.955565</v>
      </c>
      <c r="H104" s="50">
        <v>26557</v>
      </c>
      <c r="I104" s="50">
        <v>37251</v>
      </c>
      <c r="J104" s="50">
        <v>366</v>
      </c>
      <c r="K104" s="50">
        <v>0</v>
      </c>
      <c r="L104" s="50">
        <v>2</v>
      </c>
      <c r="M104" s="50">
        <v>1</v>
      </c>
      <c r="N104" s="50">
        <v>1</v>
      </c>
      <c r="O104" s="50">
        <v>1</v>
      </c>
    </row>
    <row r="105" spans="1:15" ht="15.75" customHeight="1" x14ac:dyDescent="0.3">
      <c r="A105" s="51" t="s">
        <v>198</v>
      </c>
      <c r="B105" s="28" t="s">
        <v>29</v>
      </c>
      <c r="C105" s="28" t="s">
        <v>148</v>
      </c>
      <c r="D105" s="28" t="s">
        <v>37</v>
      </c>
      <c r="E105" s="41" t="s">
        <v>1</v>
      </c>
      <c r="F105" s="39">
        <v>306.14299999999997</v>
      </c>
      <c r="G105" s="38">
        <v>1.7165790000000001</v>
      </c>
      <c r="H105" s="29">
        <v>11912</v>
      </c>
      <c r="I105" s="29">
        <v>20200</v>
      </c>
      <c r="J105" s="29">
        <v>290</v>
      </c>
      <c r="K105" s="29">
        <v>1</v>
      </c>
      <c r="L105" s="29">
        <v>0</v>
      </c>
      <c r="M105" s="29">
        <v>1</v>
      </c>
      <c r="N105" s="29">
        <v>1</v>
      </c>
      <c r="O105" s="29">
        <v>1</v>
      </c>
    </row>
    <row r="106" spans="1:15" ht="15.75" customHeight="1" x14ac:dyDescent="0.3">
      <c r="A106" s="45" t="s">
        <v>199</v>
      </c>
      <c r="B106" s="46" t="s">
        <v>27</v>
      </c>
      <c r="C106" s="46" t="s">
        <v>79</v>
      </c>
      <c r="D106" s="46" t="s">
        <v>36</v>
      </c>
      <c r="E106" s="52" t="s">
        <v>1</v>
      </c>
      <c r="F106" s="48">
        <v>389.07</v>
      </c>
      <c r="G106" s="49">
        <v>1.412765</v>
      </c>
      <c r="H106" s="50">
        <v>20737</v>
      </c>
      <c r="I106" s="50">
        <v>22516</v>
      </c>
      <c r="J106" s="50">
        <v>201</v>
      </c>
      <c r="K106" s="50">
        <v>1</v>
      </c>
      <c r="L106" s="50">
        <v>1</v>
      </c>
      <c r="M106" s="50">
        <v>1</v>
      </c>
      <c r="N106" s="50">
        <v>1</v>
      </c>
      <c r="O106" s="50">
        <v>1</v>
      </c>
    </row>
    <row r="107" spans="1:15" ht="15.75" customHeight="1" x14ac:dyDescent="0.3">
      <c r="A107" s="51" t="s">
        <v>200</v>
      </c>
      <c r="B107" s="28" t="s">
        <v>25</v>
      </c>
      <c r="C107" s="28" t="s">
        <v>107</v>
      </c>
      <c r="D107" s="28" t="s">
        <v>37</v>
      </c>
      <c r="E107" s="41" t="s">
        <v>1</v>
      </c>
      <c r="F107" s="39">
        <v>480.71</v>
      </c>
      <c r="G107" s="38">
        <v>2.059037</v>
      </c>
      <c r="H107" s="29">
        <v>20562</v>
      </c>
      <c r="I107" s="29">
        <v>31475</v>
      </c>
      <c r="J107" s="29">
        <v>355</v>
      </c>
      <c r="K107" s="29">
        <v>1</v>
      </c>
      <c r="L107" s="29">
        <v>1</v>
      </c>
      <c r="M107" s="29">
        <v>1</v>
      </c>
      <c r="N107" s="29">
        <v>1</v>
      </c>
      <c r="O107" s="29">
        <v>1</v>
      </c>
    </row>
    <row r="108" spans="1:15" ht="15.75" customHeight="1" x14ac:dyDescent="0.3">
      <c r="A108" s="45" t="s">
        <v>201</v>
      </c>
      <c r="B108" s="46" t="s">
        <v>29</v>
      </c>
      <c r="C108" s="46" t="s">
        <v>148</v>
      </c>
      <c r="D108" s="46" t="s">
        <v>37</v>
      </c>
      <c r="E108" s="52" t="s">
        <v>1</v>
      </c>
      <c r="F108" s="48">
        <v>314.85599999999999</v>
      </c>
      <c r="G108" s="49">
        <v>1.9311179999999999</v>
      </c>
      <c r="H108" s="50">
        <v>11790</v>
      </c>
      <c r="I108" s="50">
        <v>23299</v>
      </c>
      <c r="J108" s="50">
        <v>224</v>
      </c>
      <c r="K108" s="50">
        <v>1</v>
      </c>
      <c r="L108" s="50">
        <v>0</v>
      </c>
      <c r="M108" s="50">
        <v>1</v>
      </c>
      <c r="N108" s="50">
        <v>1</v>
      </c>
      <c r="O108" s="50">
        <v>1</v>
      </c>
    </row>
    <row r="109" spans="1:15" ht="15.75" customHeight="1" x14ac:dyDescent="0.3">
      <c r="A109" s="51" t="s">
        <v>202</v>
      </c>
      <c r="B109" s="28" t="s">
        <v>23</v>
      </c>
      <c r="C109" s="28" t="s">
        <v>138</v>
      </c>
      <c r="D109" s="28" t="s">
        <v>37</v>
      </c>
      <c r="E109" s="41" t="s">
        <v>1</v>
      </c>
      <c r="F109" s="39">
        <v>467.58300000000003</v>
      </c>
      <c r="G109" s="38">
        <v>2.0472830000000002</v>
      </c>
      <c r="H109" s="29">
        <v>20348</v>
      </c>
      <c r="I109" s="29">
        <v>31003</v>
      </c>
      <c r="J109" s="29">
        <v>339</v>
      </c>
      <c r="K109" s="29">
        <v>1</v>
      </c>
      <c r="L109" s="29">
        <v>1</v>
      </c>
      <c r="M109" s="29">
        <v>1</v>
      </c>
      <c r="N109" s="29">
        <v>1</v>
      </c>
      <c r="O109" s="29">
        <v>1</v>
      </c>
    </row>
    <row r="110" spans="1:15" ht="15.75" customHeight="1" x14ac:dyDescent="0.3">
      <c r="A110" s="45" t="s">
        <v>203</v>
      </c>
      <c r="B110" s="46" t="s">
        <v>27</v>
      </c>
      <c r="C110" s="46" t="s">
        <v>151</v>
      </c>
      <c r="D110" s="46" t="s">
        <v>34</v>
      </c>
      <c r="E110" s="52" t="s">
        <v>1</v>
      </c>
      <c r="F110" s="48">
        <v>351.63900000000001</v>
      </c>
      <c r="G110" s="49">
        <v>1.5981080000000001</v>
      </c>
      <c r="H110" s="50">
        <v>17746</v>
      </c>
      <c r="I110" s="50">
        <v>23312</v>
      </c>
      <c r="J110" s="50">
        <v>266</v>
      </c>
      <c r="K110" s="50">
        <v>1</v>
      </c>
      <c r="L110" s="50">
        <v>1</v>
      </c>
      <c r="M110" s="50">
        <v>1</v>
      </c>
      <c r="N110" s="50">
        <v>1</v>
      </c>
      <c r="O110" s="50">
        <v>1</v>
      </c>
    </row>
    <row r="111" spans="1:15" ht="15.75" customHeight="1" x14ac:dyDescent="0.3">
      <c r="A111" s="51" t="s">
        <v>204</v>
      </c>
      <c r="B111" s="28" t="s">
        <v>23</v>
      </c>
      <c r="C111" s="28" t="s">
        <v>183</v>
      </c>
      <c r="D111" s="28" t="s">
        <v>36</v>
      </c>
      <c r="E111" s="53" t="s">
        <v>20</v>
      </c>
      <c r="F111" s="39">
        <v>364.82299999999998</v>
      </c>
      <c r="G111" s="38">
        <v>1.5969420000000001</v>
      </c>
      <c r="H111" s="29">
        <v>11745</v>
      </c>
      <c r="I111" s="29">
        <v>18748</v>
      </c>
      <c r="J111" s="29">
        <v>286</v>
      </c>
      <c r="K111" s="29">
        <v>0</v>
      </c>
      <c r="L111" s="29">
        <v>0</v>
      </c>
      <c r="M111" s="29">
        <v>1</v>
      </c>
      <c r="N111" s="29">
        <v>1</v>
      </c>
      <c r="O111" s="29">
        <v>1</v>
      </c>
    </row>
    <row r="112" spans="1:15" ht="15.75" customHeight="1" x14ac:dyDescent="0.3">
      <c r="A112" s="45" t="s">
        <v>205</v>
      </c>
      <c r="B112" s="46" t="s">
        <v>23</v>
      </c>
      <c r="C112" s="46" t="s">
        <v>183</v>
      </c>
      <c r="D112" s="46" t="s">
        <v>37</v>
      </c>
      <c r="E112" s="52" t="s">
        <v>1</v>
      </c>
      <c r="F112" s="48">
        <v>500.20600000000002</v>
      </c>
      <c r="G112" s="49">
        <v>2.172968</v>
      </c>
      <c r="H112" s="50">
        <v>19624</v>
      </c>
      <c r="I112" s="50">
        <v>32522</v>
      </c>
      <c r="J112" s="50">
        <v>382</v>
      </c>
      <c r="K112" s="50">
        <v>1</v>
      </c>
      <c r="L112" s="50">
        <v>1</v>
      </c>
      <c r="M112" s="50">
        <v>1</v>
      </c>
      <c r="N112" s="50">
        <v>1</v>
      </c>
      <c r="O112" s="50">
        <v>1</v>
      </c>
    </row>
    <row r="113" spans="1:15" ht="15.75" customHeight="1" x14ac:dyDescent="0.3">
      <c r="A113" s="51" t="s">
        <v>206</v>
      </c>
      <c r="B113" s="28" t="s">
        <v>29</v>
      </c>
      <c r="C113" s="28" t="s">
        <v>148</v>
      </c>
      <c r="D113" s="28" t="s">
        <v>34</v>
      </c>
      <c r="E113" s="41" t="s">
        <v>1</v>
      </c>
      <c r="F113" s="39">
        <v>752.63</v>
      </c>
      <c r="G113" s="38">
        <v>2.4370419999999999</v>
      </c>
      <c r="H113" s="29">
        <v>37215</v>
      </c>
      <c r="I113" s="29">
        <v>47316</v>
      </c>
      <c r="J113" s="29">
        <v>326</v>
      </c>
      <c r="K113" s="29">
        <v>1</v>
      </c>
      <c r="L113" s="29">
        <v>2</v>
      </c>
      <c r="M113" s="29">
        <v>1</v>
      </c>
      <c r="N113" s="29">
        <v>1</v>
      </c>
      <c r="O113" s="29">
        <v>1</v>
      </c>
    </row>
    <row r="114" spans="1:15" ht="15.75" customHeight="1" x14ac:dyDescent="0.3">
      <c r="A114" s="45" t="s">
        <v>207</v>
      </c>
      <c r="B114" s="46" t="s">
        <v>26</v>
      </c>
      <c r="C114" s="46" t="s">
        <v>103</v>
      </c>
      <c r="D114" s="46" t="s">
        <v>34</v>
      </c>
      <c r="E114" s="52" t="s">
        <v>1</v>
      </c>
      <c r="F114" s="48">
        <v>402.19200000000001</v>
      </c>
      <c r="G114" s="49">
        <v>2.2056749999999998</v>
      </c>
      <c r="H114" s="50">
        <v>12083</v>
      </c>
      <c r="I114" s="50">
        <v>26809</v>
      </c>
      <c r="J114" s="50">
        <v>431</v>
      </c>
      <c r="K114" s="50">
        <v>1</v>
      </c>
      <c r="L114" s="50">
        <v>0</v>
      </c>
      <c r="M114" s="50">
        <v>1</v>
      </c>
      <c r="N114" s="50">
        <v>1</v>
      </c>
      <c r="O114" s="50">
        <v>1</v>
      </c>
    </row>
    <row r="115" spans="1:15" ht="15.75" customHeight="1" x14ac:dyDescent="0.3">
      <c r="A115" s="51" t="s">
        <v>208</v>
      </c>
      <c r="B115" s="28" t="s">
        <v>22</v>
      </c>
      <c r="C115" s="28" t="s">
        <v>192</v>
      </c>
      <c r="D115" s="28" t="s">
        <v>34</v>
      </c>
      <c r="E115" s="41" t="s">
        <v>1</v>
      </c>
      <c r="F115" s="39">
        <v>245.07499999999999</v>
      </c>
      <c r="G115" s="38">
        <v>1.342881</v>
      </c>
      <c r="H115" s="29">
        <v>12096</v>
      </c>
      <c r="I115" s="29">
        <v>15218</v>
      </c>
      <c r="J115" s="29">
        <v>144</v>
      </c>
      <c r="K115" s="29">
        <v>1</v>
      </c>
      <c r="L115" s="29">
        <v>0</v>
      </c>
      <c r="M115" s="29">
        <v>1</v>
      </c>
      <c r="N115" s="29">
        <v>1</v>
      </c>
      <c r="O115" s="29">
        <v>1</v>
      </c>
    </row>
    <row r="116" spans="1:15" ht="15.75" customHeight="1" x14ac:dyDescent="0.3">
      <c r="A116" s="45" t="s">
        <v>209</v>
      </c>
      <c r="B116" s="46" t="s">
        <v>23</v>
      </c>
      <c r="C116" s="46" t="s">
        <v>183</v>
      </c>
      <c r="D116" s="46" t="s">
        <v>34</v>
      </c>
      <c r="E116" s="52" t="s">
        <v>1</v>
      </c>
      <c r="F116" s="48">
        <v>517.85500000000002</v>
      </c>
      <c r="G116" s="49">
        <v>2.3771360000000001</v>
      </c>
      <c r="H116" s="50">
        <v>20935</v>
      </c>
      <c r="I116" s="50">
        <v>35703</v>
      </c>
      <c r="J116" s="50">
        <v>404</v>
      </c>
      <c r="K116" s="50">
        <v>1</v>
      </c>
      <c r="L116" s="50">
        <v>1</v>
      </c>
      <c r="M116" s="50">
        <v>1</v>
      </c>
      <c r="N116" s="50">
        <v>1</v>
      </c>
      <c r="O116" s="50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7DD"/>
  </sheetPr>
  <dimension ref="A1:H27"/>
  <sheetViews>
    <sheetView showGridLines="0" zoomScale="72" zoomScaleNormal="100" workbookViewId="0">
      <selection activeCell="T20" sqref="T20"/>
    </sheetView>
  </sheetViews>
  <sheetFormatPr defaultColWidth="8.6640625" defaultRowHeight="14.4" x14ac:dyDescent="0.3"/>
  <cols>
    <col min="1" max="1" width="24" customWidth="1"/>
    <col min="2" max="2" width="10" customWidth="1"/>
    <col min="3" max="5" width="12" customWidth="1"/>
    <col min="6" max="6" width="3" customWidth="1"/>
    <col min="7" max="7" width="20" customWidth="1"/>
    <col min="8" max="8" width="10" customWidth="1"/>
    <col min="9" max="11" width="12" customWidth="1"/>
  </cols>
  <sheetData>
    <row r="1" spans="1:8" ht="19.5" customHeight="1" x14ac:dyDescent="0.3">
      <c r="A1" s="1" t="s">
        <v>210</v>
      </c>
      <c r="B1" s="1"/>
      <c r="C1" s="1"/>
      <c r="D1" s="1"/>
      <c r="G1" s="1" t="s">
        <v>211</v>
      </c>
      <c r="H1" s="1"/>
    </row>
    <row r="2" spans="1:8" ht="18" customHeight="1" x14ac:dyDescent="0.3">
      <c r="A2" s="8" t="s">
        <v>18</v>
      </c>
      <c r="B2" s="8" t="s">
        <v>1</v>
      </c>
      <c r="C2" s="8" t="s">
        <v>2</v>
      </c>
      <c r="D2" s="8" t="s">
        <v>20</v>
      </c>
      <c r="G2" s="8" t="s">
        <v>18</v>
      </c>
      <c r="H2" s="8" t="s">
        <v>39</v>
      </c>
    </row>
    <row r="3" spans="1:8" ht="15.75" customHeight="1" x14ac:dyDescent="0.3">
      <c r="A3" s="46" t="s">
        <v>22</v>
      </c>
      <c r="B3" s="46">
        <v>15</v>
      </c>
      <c r="C3" s="46">
        <v>0</v>
      </c>
      <c r="D3" s="46">
        <v>1</v>
      </c>
      <c r="G3" s="46" t="s">
        <v>22</v>
      </c>
      <c r="H3" s="49">
        <v>2.1979000000000002</v>
      </c>
    </row>
    <row r="4" spans="1:8" ht="15.75" customHeight="1" x14ac:dyDescent="0.3">
      <c r="A4" s="28" t="s">
        <v>23</v>
      </c>
      <c r="B4" s="28">
        <v>10</v>
      </c>
      <c r="C4" s="28">
        <v>1</v>
      </c>
      <c r="D4" s="28">
        <v>1</v>
      </c>
      <c r="G4" s="28" t="s">
        <v>23</v>
      </c>
      <c r="H4" s="38">
        <v>2.0546000000000002</v>
      </c>
    </row>
    <row r="5" spans="1:8" ht="15.75" customHeight="1" x14ac:dyDescent="0.3">
      <c r="A5" s="46" t="s">
        <v>24</v>
      </c>
      <c r="B5" s="46">
        <v>10</v>
      </c>
      <c r="C5" s="46">
        <v>1</v>
      </c>
      <c r="D5" s="46">
        <v>0</v>
      </c>
      <c r="G5" s="46" t="s">
        <v>24</v>
      </c>
      <c r="H5" s="49">
        <v>1.9476</v>
      </c>
    </row>
    <row r="6" spans="1:8" ht="15.75" customHeight="1" x14ac:dyDescent="0.3">
      <c r="A6" s="28" t="s">
        <v>25</v>
      </c>
      <c r="B6" s="28">
        <v>10</v>
      </c>
      <c r="C6" s="28">
        <v>0</v>
      </c>
      <c r="D6" s="28">
        <v>2</v>
      </c>
      <c r="G6" s="28" t="s">
        <v>25</v>
      </c>
      <c r="H6" s="38">
        <v>2.3544999999999998</v>
      </c>
    </row>
    <row r="7" spans="1:8" ht="15.75" customHeight="1" x14ac:dyDescent="0.3">
      <c r="A7" s="46" t="s">
        <v>26</v>
      </c>
      <c r="B7" s="46">
        <v>5</v>
      </c>
      <c r="C7" s="46">
        <v>3</v>
      </c>
      <c r="D7" s="46">
        <v>0</v>
      </c>
      <c r="G7" s="46" t="s">
        <v>26</v>
      </c>
      <c r="H7" s="49">
        <v>1.9822</v>
      </c>
    </row>
    <row r="8" spans="1:8" ht="15.75" customHeight="1" x14ac:dyDescent="0.3">
      <c r="A8" s="28" t="s">
        <v>27</v>
      </c>
      <c r="B8" s="28">
        <v>15</v>
      </c>
      <c r="C8" s="28">
        <v>0</v>
      </c>
      <c r="D8" s="28">
        <v>0</v>
      </c>
      <c r="G8" s="28" t="s">
        <v>27</v>
      </c>
      <c r="H8" s="38">
        <v>2.1267999999999998</v>
      </c>
    </row>
    <row r="9" spans="1:8" ht="15.75" customHeight="1" x14ac:dyDescent="0.3">
      <c r="A9" s="46" t="s">
        <v>28</v>
      </c>
      <c r="B9" s="46">
        <v>10</v>
      </c>
      <c r="C9" s="46">
        <v>1</v>
      </c>
      <c r="D9" s="46">
        <v>1</v>
      </c>
      <c r="G9" s="46" t="s">
        <v>28</v>
      </c>
      <c r="H9" s="49">
        <v>2.0104000000000002</v>
      </c>
    </row>
    <row r="10" spans="1:8" ht="15.75" customHeight="1" x14ac:dyDescent="0.3">
      <c r="A10" s="28" t="s">
        <v>29</v>
      </c>
      <c r="B10" s="28">
        <v>15</v>
      </c>
      <c r="C10" s="28">
        <v>2</v>
      </c>
      <c r="D10" s="28">
        <v>0</v>
      </c>
      <c r="G10" s="28" t="s">
        <v>29</v>
      </c>
      <c r="H10" s="38">
        <v>2.0287000000000002</v>
      </c>
    </row>
    <row r="11" spans="1:8" ht="15.75" customHeight="1" x14ac:dyDescent="0.3">
      <c r="A11" s="46" t="s">
        <v>30</v>
      </c>
      <c r="B11" s="46">
        <v>10</v>
      </c>
      <c r="C11" s="46">
        <v>2</v>
      </c>
      <c r="D11" s="46">
        <v>0</v>
      </c>
      <c r="G11" s="46" t="s">
        <v>30</v>
      </c>
      <c r="H11" s="49">
        <v>2.2665999999999999</v>
      </c>
    </row>
    <row r="14" spans="1:8" ht="19.5" customHeight="1" x14ac:dyDescent="0.3">
      <c r="A14" s="1" t="s">
        <v>212</v>
      </c>
      <c r="B14" s="1"/>
      <c r="C14" s="1"/>
      <c r="D14" s="1"/>
      <c r="G14" s="1" t="s">
        <v>213</v>
      </c>
      <c r="H14" s="1"/>
    </row>
    <row r="15" spans="1:8" ht="18" customHeight="1" x14ac:dyDescent="0.3">
      <c r="A15" s="8" t="s">
        <v>33</v>
      </c>
      <c r="B15" s="8" t="s">
        <v>1</v>
      </c>
      <c r="C15" s="8" t="s">
        <v>2</v>
      </c>
      <c r="D15" s="8" t="s">
        <v>20</v>
      </c>
      <c r="G15" s="8" t="s">
        <v>18</v>
      </c>
      <c r="H15" s="8" t="s">
        <v>42</v>
      </c>
    </row>
    <row r="16" spans="1:8" ht="15.75" customHeight="1" x14ac:dyDescent="0.3">
      <c r="A16" s="46" t="s">
        <v>34</v>
      </c>
      <c r="B16" s="46">
        <v>28</v>
      </c>
      <c r="C16" s="46">
        <v>2</v>
      </c>
      <c r="D16" s="46">
        <v>1</v>
      </c>
      <c r="G16" s="46" t="s">
        <v>22</v>
      </c>
      <c r="H16" s="48">
        <v>430.2</v>
      </c>
    </row>
    <row r="17" spans="1:8" ht="15.75" customHeight="1" x14ac:dyDescent="0.3">
      <c r="A17" s="28" t="s">
        <v>35</v>
      </c>
      <c r="B17" s="28">
        <v>23</v>
      </c>
      <c r="C17" s="28">
        <v>2</v>
      </c>
      <c r="D17" s="28">
        <v>1</v>
      </c>
      <c r="G17" s="28" t="s">
        <v>23</v>
      </c>
      <c r="H17" s="39">
        <v>500</v>
      </c>
    </row>
    <row r="18" spans="1:8" ht="15.75" customHeight="1" x14ac:dyDescent="0.3">
      <c r="A18" s="46" t="s">
        <v>36</v>
      </c>
      <c r="B18" s="46">
        <v>19</v>
      </c>
      <c r="C18" s="46">
        <v>3</v>
      </c>
      <c r="D18" s="46">
        <v>3</v>
      </c>
      <c r="G18" s="46" t="s">
        <v>24</v>
      </c>
      <c r="H18" s="48">
        <v>446.6</v>
      </c>
    </row>
    <row r="19" spans="1:8" ht="15.75" customHeight="1" x14ac:dyDescent="0.3">
      <c r="A19" s="28" t="s">
        <v>37</v>
      </c>
      <c r="B19" s="28">
        <v>30</v>
      </c>
      <c r="C19" s="28">
        <v>3</v>
      </c>
      <c r="D19" s="28">
        <v>0</v>
      </c>
      <c r="G19" s="28" t="s">
        <v>25</v>
      </c>
      <c r="H19" s="39">
        <v>485.1</v>
      </c>
    </row>
    <row r="20" spans="1:8" ht="15.75" customHeight="1" x14ac:dyDescent="0.3">
      <c r="G20" s="46" t="s">
        <v>26</v>
      </c>
      <c r="H20" s="48">
        <v>556.70000000000005</v>
      </c>
    </row>
    <row r="21" spans="1:8" ht="15.75" customHeight="1" x14ac:dyDescent="0.3">
      <c r="G21" s="28" t="s">
        <v>27</v>
      </c>
      <c r="H21" s="39">
        <v>433.4</v>
      </c>
    </row>
    <row r="22" spans="1:8" ht="15.75" customHeight="1" x14ac:dyDescent="0.3">
      <c r="A22" s="1" t="s">
        <v>214</v>
      </c>
      <c r="B22" s="1"/>
      <c r="G22" s="46" t="s">
        <v>28</v>
      </c>
      <c r="H22" s="48">
        <v>525.20000000000005</v>
      </c>
    </row>
    <row r="23" spans="1:8" ht="15.75" customHeight="1" x14ac:dyDescent="0.3">
      <c r="A23" s="8" t="s">
        <v>45</v>
      </c>
      <c r="B23" s="8" t="s">
        <v>46</v>
      </c>
      <c r="G23" s="28" t="s">
        <v>29</v>
      </c>
      <c r="H23" s="39">
        <v>541.5</v>
      </c>
    </row>
    <row r="24" spans="1:8" ht="15.75" customHeight="1" x14ac:dyDescent="0.3">
      <c r="A24" s="46" t="s">
        <v>49</v>
      </c>
      <c r="B24" s="46">
        <v>43</v>
      </c>
      <c r="G24" s="46" t="s">
        <v>30</v>
      </c>
      <c r="H24" s="48">
        <v>546.79999999999995</v>
      </c>
    </row>
    <row r="25" spans="1:8" ht="15.75" customHeight="1" x14ac:dyDescent="0.3">
      <c r="A25" s="28" t="s">
        <v>50</v>
      </c>
      <c r="B25" s="28">
        <v>47</v>
      </c>
    </row>
    <row r="26" spans="1:8" ht="15.75" customHeight="1" x14ac:dyDescent="0.3">
      <c r="A26" s="46" t="s">
        <v>51</v>
      </c>
      <c r="B26" s="46">
        <v>23</v>
      </c>
    </row>
    <row r="27" spans="1:8" ht="15.75" customHeight="1" x14ac:dyDescent="0.3">
      <c r="A27" s="28" t="s">
        <v>52</v>
      </c>
      <c r="B27" s="28">
        <v>2</v>
      </c>
    </row>
  </sheetData>
  <mergeCells count="5">
    <mergeCell ref="A1:D1"/>
    <mergeCell ref="G1:H1"/>
    <mergeCell ref="A14:D14"/>
    <mergeCell ref="G14:H14"/>
    <mergeCell ref="A22:B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4B4A"/>
  </sheetPr>
  <dimension ref="A1:G16"/>
  <sheetViews>
    <sheetView showGridLines="0" zoomScaleNormal="100" workbookViewId="0">
      <pane ySplit="1" topLeftCell="A2" activePane="bottomLeft" state="frozen"/>
      <selection pane="bottomLeft" activeCell="B21" sqref="B21"/>
    </sheetView>
  </sheetViews>
  <sheetFormatPr defaultColWidth="8.6640625" defaultRowHeight="14.4" x14ac:dyDescent="0.3"/>
  <cols>
    <col min="1" max="1" width="38" customWidth="1"/>
    <col min="2" max="2" width="22" customWidth="1"/>
    <col min="3" max="7" width="13" customWidth="1"/>
  </cols>
  <sheetData>
    <row r="1" spans="1:7" ht="19.5" customHeight="1" x14ac:dyDescent="0.3">
      <c r="A1" s="11" t="s">
        <v>54</v>
      </c>
      <c r="B1" s="11" t="s">
        <v>18</v>
      </c>
      <c r="C1" s="11" t="s">
        <v>33</v>
      </c>
      <c r="D1" s="11" t="s">
        <v>55</v>
      </c>
      <c r="E1" s="11" t="s">
        <v>56</v>
      </c>
      <c r="F1" s="11" t="s">
        <v>57</v>
      </c>
      <c r="G1" s="11" t="s">
        <v>58</v>
      </c>
    </row>
    <row r="2" spans="1:7" ht="15.75" customHeight="1" x14ac:dyDescent="0.3">
      <c r="A2" s="55" t="s">
        <v>62</v>
      </c>
      <c r="B2" s="56" t="s">
        <v>30</v>
      </c>
      <c r="C2" s="56" t="s">
        <v>35</v>
      </c>
      <c r="D2" s="57" t="s">
        <v>2</v>
      </c>
      <c r="E2" s="58">
        <v>3.172056</v>
      </c>
      <c r="F2" s="59">
        <v>758.66800000000001</v>
      </c>
      <c r="G2" s="56">
        <v>2</v>
      </c>
    </row>
    <row r="3" spans="1:7" ht="15.75" customHeight="1" x14ac:dyDescent="0.3">
      <c r="A3" s="60" t="s">
        <v>63</v>
      </c>
      <c r="B3" s="61" t="s">
        <v>25</v>
      </c>
      <c r="C3" s="61" t="s">
        <v>36</v>
      </c>
      <c r="D3" s="62" t="s">
        <v>20</v>
      </c>
      <c r="E3" s="63">
        <v>3.1492450000000001</v>
      </c>
      <c r="F3" s="64">
        <v>346.23899999999998</v>
      </c>
      <c r="G3" s="61">
        <v>0</v>
      </c>
    </row>
    <row r="4" spans="1:7" ht="15.75" customHeight="1" x14ac:dyDescent="0.3">
      <c r="A4" s="55" t="s">
        <v>67</v>
      </c>
      <c r="B4" s="56" t="s">
        <v>29</v>
      </c>
      <c r="C4" s="56" t="s">
        <v>37</v>
      </c>
      <c r="D4" s="57" t="s">
        <v>2</v>
      </c>
      <c r="E4" s="58">
        <v>2.894838</v>
      </c>
      <c r="F4" s="59">
        <v>1176.432</v>
      </c>
      <c r="G4" s="56">
        <v>2</v>
      </c>
    </row>
    <row r="5" spans="1:7" ht="15.75" customHeight="1" x14ac:dyDescent="0.3">
      <c r="A5" s="55" t="s">
        <v>112</v>
      </c>
      <c r="B5" s="56" t="s">
        <v>26</v>
      </c>
      <c r="C5" s="56" t="s">
        <v>36</v>
      </c>
      <c r="D5" s="57" t="s">
        <v>2</v>
      </c>
      <c r="E5" s="58">
        <v>2.6599620000000002</v>
      </c>
      <c r="F5" s="59">
        <v>927.49699999999996</v>
      </c>
      <c r="G5" s="56">
        <v>3</v>
      </c>
    </row>
    <row r="6" spans="1:7" ht="15.75" customHeight="1" x14ac:dyDescent="0.3">
      <c r="A6" s="55" t="s">
        <v>135</v>
      </c>
      <c r="B6" s="56" t="s">
        <v>30</v>
      </c>
      <c r="C6" s="56" t="s">
        <v>35</v>
      </c>
      <c r="D6" s="57" t="s">
        <v>2</v>
      </c>
      <c r="E6" s="58">
        <v>2.469049</v>
      </c>
      <c r="F6" s="59">
        <v>784.65599999999995</v>
      </c>
      <c r="G6" s="56">
        <v>2</v>
      </c>
    </row>
    <row r="7" spans="1:7" ht="15.75" customHeight="1" x14ac:dyDescent="0.3">
      <c r="A7" s="55" t="s">
        <v>139</v>
      </c>
      <c r="B7" s="56" t="s">
        <v>28</v>
      </c>
      <c r="C7" s="56" t="s">
        <v>37</v>
      </c>
      <c r="D7" s="57" t="s">
        <v>2</v>
      </c>
      <c r="E7" s="58">
        <v>2.4361480000000002</v>
      </c>
      <c r="F7" s="59">
        <v>864.76800000000003</v>
      </c>
      <c r="G7" s="56">
        <v>2</v>
      </c>
    </row>
    <row r="8" spans="1:7" ht="15.75" customHeight="1" x14ac:dyDescent="0.3">
      <c r="A8" s="55" t="s">
        <v>185</v>
      </c>
      <c r="B8" s="56" t="s">
        <v>26</v>
      </c>
      <c r="C8" s="56" t="s">
        <v>36</v>
      </c>
      <c r="D8" s="57" t="s">
        <v>2</v>
      </c>
      <c r="E8" s="58">
        <v>2.366155</v>
      </c>
      <c r="F8" s="59">
        <v>776.19200000000001</v>
      </c>
      <c r="G8" s="56">
        <v>2</v>
      </c>
    </row>
    <row r="9" spans="1:7" ht="15.75" customHeight="1" x14ac:dyDescent="0.3">
      <c r="A9" s="55" t="s">
        <v>178</v>
      </c>
      <c r="B9" s="56" t="s">
        <v>26</v>
      </c>
      <c r="C9" s="56" t="s">
        <v>34</v>
      </c>
      <c r="D9" s="57" t="s">
        <v>2</v>
      </c>
      <c r="E9" s="58">
        <v>2.2839010000000002</v>
      </c>
      <c r="F9" s="59">
        <v>910.803</v>
      </c>
      <c r="G9" s="56">
        <v>2</v>
      </c>
    </row>
    <row r="10" spans="1:7" ht="15.75" customHeight="1" x14ac:dyDescent="0.3">
      <c r="A10" s="60" t="s">
        <v>76</v>
      </c>
      <c r="B10" s="61" t="s">
        <v>25</v>
      </c>
      <c r="C10" s="61" t="s">
        <v>36</v>
      </c>
      <c r="D10" s="62" t="s">
        <v>20</v>
      </c>
      <c r="E10" s="63">
        <v>2.2477269999999998</v>
      </c>
      <c r="F10" s="64">
        <v>414.84699999999998</v>
      </c>
      <c r="G10" s="61">
        <v>1</v>
      </c>
    </row>
    <row r="11" spans="1:7" ht="15.75" customHeight="1" x14ac:dyDescent="0.3">
      <c r="A11" s="55" t="s">
        <v>140</v>
      </c>
      <c r="B11" s="56" t="s">
        <v>29</v>
      </c>
      <c r="C11" s="56" t="s">
        <v>37</v>
      </c>
      <c r="D11" s="57" t="s">
        <v>2</v>
      </c>
      <c r="E11" s="58">
        <v>1.9785820000000001</v>
      </c>
      <c r="F11" s="59">
        <v>690.18200000000002</v>
      </c>
      <c r="G11" s="56">
        <v>2</v>
      </c>
    </row>
    <row r="12" spans="1:7" ht="15.75" customHeight="1" x14ac:dyDescent="0.3">
      <c r="A12" s="55" t="s">
        <v>197</v>
      </c>
      <c r="B12" s="56" t="s">
        <v>23</v>
      </c>
      <c r="C12" s="56" t="s">
        <v>34</v>
      </c>
      <c r="D12" s="57" t="s">
        <v>2</v>
      </c>
      <c r="E12" s="58">
        <v>1.955565</v>
      </c>
      <c r="F12" s="59">
        <v>644.33000000000004</v>
      </c>
      <c r="G12" s="56">
        <v>2</v>
      </c>
    </row>
    <row r="13" spans="1:7" ht="15.75" customHeight="1" x14ac:dyDescent="0.3">
      <c r="A13" s="55" t="s">
        <v>189</v>
      </c>
      <c r="B13" s="56" t="s">
        <v>24</v>
      </c>
      <c r="C13" s="56" t="s">
        <v>36</v>
      </c>
      <c r="D13" s="57" t="s">
        <v>2</v>
      </c>
      <c r="E13" s="58">
        <v>1.834095</v>
      </c>
      <c r="F13" s="59">
        <v>682.55</v>
      </c>
      <c r="G13" s="56">
        <v>3</v>
      </c>
    </row>
    <row r="14" spans="1:7" ht="15.75" customHeight="1" x14ac:dyDescent="0.3">
      <c r="A14" s="60" t="s">
        <v>204</v>
      </c>
      <c r="B14" s="61" t="s">
        <v>23</v>
      </c>
      <c r="C14" s="61" t="s">
        <v>36</v>
      </c>
      <c r="D14" s="62" t="s">
        <v>20</v>
      </c>
      <c r="E14" s="63">
        <v>1.5969420000000001</v>
      </c>
      <c r="F14" s="64">
        <v>364.82299999999998</v>
      </c>
      <c r="G14" s="61">
        <v>0</v>
      </c>
    </row>
    <row r="15" spans="1:7" ht="15.75" customHeight="1" x14ac:dyDescent="0.3">
      <c r="A15" s="60" t="s">
        <v>114</v>
      </c>
      <c r="B15" s="61" t="s">
        <v>22</v>
      </c>
      <c r="C15" s="61" t="s">
        <v>35</v>
      </c>
      <c r="D15" s="62" t="s">
        <v>20</v>
      </c>
      <c r="E15" s="63">
        <v>1.5372870000000001</v>
      </c>
      <c r="F15" s="64">
        <v>384.73200000000003</v>
      </c>
      <c r="G15" s="61">
        <v>0</v>
      </c>
    </row>
    <row r="16" spans="1:7" ht="15.75" customHeight="1" x14ac:dyDescent="0.3">
      <c r="A16" s="60" t="s">
        <v>186</v>
      </c>
      <c r="B16" s="61" t="s">
        <v>28</v>
      </c>
      <c r="C16" s="61" t="s">
        <v>34</v>
      </c>
      <c r="D16" s="62" t="s">
        <v>20</v>
      </c>
      <c r="E16" s="63">
        <v>1.379111</v>
      </c>
      <c r="F16" s="64">
        <v>640.40899999999999</v>
      </c>
      <c r="G16" s="61"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All Tasks</vt:lpstr>
      <vt:lpstr>Charts Data</vt:lpstr>
      <vt:lpstr>Failed &amp; 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Sharma</cp:lastModifiedBy>
  <cp:revision>1</cp:revision>
  <dcterms:created xsi:type="dcterms:W3CDTF">2026-05-07T06:30:32Z</dcterms:created>
  <dcterms:modified xsi:type="dcterms:W3CDTF">2026-05-07T07:16:05Z</dcterms:modified>
  <dc:language>en-US</dc:language>
</cp:coreProperties>
</file>